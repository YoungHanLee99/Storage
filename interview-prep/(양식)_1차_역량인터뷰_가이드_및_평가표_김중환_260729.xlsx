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060" yWindow="375" windowWidth="23880" windowHeight="15105" tabRatio="600" firstSheet="0" activeTab="0" autoFilterDateGrouping="1"/>
  </bookViews>
  <sheets>
    <sheet name="역량인터뷰 평가표" sheetId="1" state="visible" r:id="rId1"/>
    <sheet name="참조시트" sheetId="2" state="hidden" r:id="rId2"/>
    <sheet name="(구) 인사면접평가서" sheetId="3" state="visible" r:id="rId3"/>
  </sheets>
  <definedNames>
    <definedName name="_xlnm.Print_Area" localSheetId="0">'역량인터뷰 평가표'!$A$1:$L$71</definedName>
    <definedName name="_xlnm.Print_Area" localSheetId="2">'(구) 인사면접평가서'!$B$1:$M$53</definedName>
  </definedNames>
  <calcPr calcId="191029" fullCalcOnLoad="1"/>
</workbook>
</file>

<file path=xl/styles.xml><?xml version="1.0" encoding="utf-8"?>
<styleSheet xmlns="http://schemas.openxmlformats.org/spreadsheetml/2006/main">
  <numFmts count="1">
    <numFmt numFmtId="164" formatCode="0.0"/>
  </numFmts>
  <fonts count="47">
    <font>
      <name val="맑은 고딕"/>
      <charset val="129"/>
      <family val="2"/>
      <color theme="1"/>
      <sz val="10"/>
    </font>
    <font>
      <name val="Calibri"/>
      <charset val="129"/>
      <family val="2"/>
      <color theme="1"/>
      <sz val="11"/>
      <scheme val="minor"/>
    </font>
    <font>
      <name val="Calibri"/>
      <charset val="129"/>
      <family val="2"/>
      <color theme="1"/>
      <sz val="11"/>
      <scheme val="minor"/>
    </font>
    <font>
      <name val="Calibri"/>
      <charset val="129"/>
      <family val="2"/>
      <color theme="1"/>
      <sz val="11"/>
      <scheme val="minor"/>
    </font>
    <font>
      <name val="Calibri"/>
      <charset val="129"/>
      <family val="2"/>
      <color theme="1"/>
      <sz val="11"/>
      <scheme val="minor"/>
    </font>
    <font>
      <name val="맑은 고딕"/>
      <charset val="129"/>
      <family val="2"/>
      <sz val="8"/>
    </font>
    <font>
      <name val="Calibri"/>
      <charset val="129"/>
      <family val="2"/>
      <sz val="8"/>
      <scheme val="minor"/>
    </font>
    <font>
      <name val="맑은 고딕"/>
      <charset val="129"/>
      <family val="3"/>
      <b val="1"/>
      <color theme="0"/>
      <sz val="12"/>
    </font>
    <font>
      <name val="맑은 고딕"/>
      <charset val="129"/>
      <family val="3"/>
      <sz val="9"/>
    </font>
    <font>
      <name val="맑은 고딕"/>
      <charset val="129"/>
      <family val="3"/>
      <b val="1"/>
      <color theme="1"/>
      <sz val="10"/>
    </font>
    <font>
      <name val="맑은 고딕"/>
      <charset val="129"/>
      <family val="3"/>
      <color theme="1"/>
      <sz val="10"/>
    </font>
    <font>
      <name val="맑은 고딕"/>
      <charset val="129"/>
      <family val="3"/>
      <b val="1"/>
      <sz val="10"/>
    </font>
    <font>
      <name val="맑은 고딕"/>
      <charset val="129"/>
      <family val="3"/>
      <sz val="10"/>
    </font>
    <font>
      <name val="맑은 고딕"/>
      <charset val="129"/>
      <family val="3"/>
      <b val="1"/>
      <sz val="10"/>
      <u val="single"/>
    </font>
    <font>
      <name val="Calibri"/>
      <charset val="129"/>
      <family val="3"/>
      <b val="1"/>
      <color theme="0"/>
      <sz val="12"/>
      <scheme val="minor"/>
    </font>
    <font>
      <name val="Calibri"/>
      <charset val="129"/>
      <family val="3"/>
      <sz val="9"/>
      <scheme val="minor"/>
    </font>
    <font>
      <name val="Calibri"/>
      <charset val="129"/>
      <family val="3"/>
      <b val="1"/>
      <color theme="0"/>
      <sz val="10"/>
      <scheme val="minor"/>
    </font>
    <font>
      <name val="Calibri"/>
      <charset val="129"/>
      <family val="3"/>
      <b val="1"/>
      <sz val="10"/>
      <scheme val="minor"/>
    </font>
    <font>
      <name val="Calibri"/>
      <charset val="129"/>
      <family val="3"/>
      <color theme="1"/>
      <sz val="10"/>
      <scheme val="minor"/>
    </font>
    <font>
      <name val="Calibri"/>
      <charset val="129"/>
      <family val="3"/>
      <b val="1"/>
      <color theme="1"/>
      <sz val="10"/>
      <scheme val="minor"/>
    </font>
    <font>
      <name val="Calibri"/>
      <charset val="129"/>
      <family val="3"/>
      <b val="1"/>
      <color rgb="FFFFC000"/>
      <sz val="10"/>
      <scheme val="minor"/>
    </font>
    <font>
      <name val="Calibri"/>
      <charset val="129"/>
      <family val="3"/>
      <color rgb="FFFF0000"/>
      <sz val="9"/>
      <scheme val="minor"/>
    </font>
    <font>
      <name val="Calibri"/>
      <charset val="129"/>
      <family val="3"/>
      <sz val="10"/>
      <scheme val="minor"/>
    </font>
    <font>
      <name val="Calibri"/>
      <charset val="129"/>
      <family val="3"/>
      <b val="1"/>
      <color theme="1"/>
      <sz val="12"/>
      <scheme val="minor"/>
    </font>
    <font>
      <name val="Calibri"/>
      <charset val="129"/>
      <family val="3"/>
      <b val="1"/>
      <color theme="1"/>
      <sz val="8"/>
      <scheme val="minor"/>
    </font>
    <font>
      <name val="Calibri"/>
      <charset val="129"/>
      <family val="3"/>
      <b val="1"/>
      <sz val="10"/>
      <u val="single"/>
      <scheme val="minor"/>
    </font>
    <font>
      <name val="Calibri"/>
      <charset val="129"/>
      <family val="3"/>
      <sz val="8"/>
      <scheme val="minor"/>
    </font>
    <font>
      <name val="맑은 고딕"/>
      <charset val="129"/>
      <family val="3"/>
      <b val="1"/>
      <sz val="11"/>
    </font>
    <font>
      <name val="맑은 고딕"/>
      <charset val="129"/>
      <family val="3"/>
      <b val="1"/>
      <color theme="1"/>
      <sz val="11"/>
    </font>
    <font>
      <name val="Calibri"/>
      <family val="2"/>
      <color theme="1"/>
      <sz val="11"/>
      <scheme val="minor"/>
    </font>
    <font>
      <name val="맑은 고딕"/>
      <charset val="129"/>
      <family val="3"/>
      <b val="1"/>
      <color rgb="FFC00000"/>
      <sz val="10"/>
    </font>
    <font>
      <name val="맑은 고딕"/>
      <charset val="129"/>
      <family val="3"/>
      <b val="1"/>
      <color theme="0"/>
      <sz val="11"/>
    </font>
    <font>
      <name val="맑은 고딕"/>
      <charset val="129"/>
      <family val="3"/>
      <b val="1"/>
      <color rgb="FF0000FF"/>
      <sz val="11"/>
    </font>
    <font>
      <name val="맑은 고딕"/>
      <charset val="129"/>
      <family val="3"/>
      <b val="1"/>
      <color rgb="FF0070C0"/>
      <sz val="10"/>
    </font>
    <font>
      <name val="맑은 고딕"/>
      <charset val="129"/>
      <family val="3"/>
      <color rgb="FFFF0000"/>
      <sz val="10"/>
    </font>
    <font>
      <name val="맑은 고딕"/>
      <charset val="129"/>
      <family val="3"/>
      <b val="1"/>
      <color rgb="FFFF0000"/>
      <sz val="11"/>
    </font>
    <font>
      <name val="Noto Sans SC Black"/>
      <charset val="128"/>
      <family val="2"/>
      <b val="1"/>
      <sz val="10"/>
    </font>
    <font>
      <name val="맑은 고딕"/>
      <charset val="128"/>
      <family val="2"/>
      <b val="1"/>
      <sz val="10"/>
    </font>
    <font>
      <name val="맑은 고딕"/>
      <charset val="129"/>
      <family val="2"/>
      <b val="1"/>
      <sz val="10"/>
    </font>
    <font>
      <name val="맑은 고딕"/>
      <charset val="129"/>
      <family val="3"/>
      <b val="1"/>
      <color rgb="FFC00000"/>
      <sz val="14"/>
    </font>
    <font>
      <name val="맑은 고딕"/>
      <charset val="129"/>
      <family val="3"/>
      <sz val="11"/>
    </font>
    <font>
      <name val="맑은 고딕"/>
      <charset val="129"/>
      <family val="3"/>
      <i val="1"/>
      <color theme="0" tint="-0.499984740745262"/>
      <sz val="11"/>
    </font>
    <font>
      <name val="맑은 고딕"/>
      <charset val="129"/>
      <family val="3"/>
      <b val="1"/>
      <color rgb="FF0070C0"/>
      <sz val="11"/>
    </font>
    <font>
      <name val="맑은 고딕"/>
      <charset val="129"/>
      <family val="3"/>
      <b val="1"/>
      <color theme="1"/>
      <sz val="12"/>
    </font>
    <font>
      <name val="맑은 고딕"/>
      <charset val="129"/>
      <family val="3"/>
      <b val="1"/>
      <color rgb="FFC00000"/>
      <sz val="9"/>
    </font>
    <font>
      <name val="맑은 고딕"/>
      <charset val="129"/>
      <family val="3"/>
      <b val="1"/>
      <color theme="0" tint="-0.499984740745262"/>
      <sz val="10"/>
    </font>
    <font>
      <name val="맑은 고딕"/>
      <charset val="129"/>
      <family val="3"/>
      <color theme="1"/>
      <sz val="9"/>
    </font>
  </fonts>
  <fills count="18">
    <fill>
      <patternFill/>
    </fill>
    <fill>
      <patternFill patternType="gray125"/>
    </fill>
    <fill>
      <patternFill patternType="solid">
        <fgColor theme="1"/>
        <bgColor indexed="64"/>
      </patternFill>
    </fill>
    <fill>
      <patternFill patternType="solid">
        <fgColor theme="1" tint="0.249977111117893"/>
        <bgColor indexed="64"/>
      </patternFill>
    </fill>
    <fill>
      <patternFill patternType="solid">
        <fgColor theme="2" tint="-0.09997863704336681"/>
        <bgColor indexed="64"/>
      </patternFill>
    </fill>
    <fill>
      <patternFill patternType="solid">
        <fgColor theme="2"/>
        <bgColor indexed="64"/>
      </patternFill>
    </fill>
    <fill>
      <patternFill patternType="solid">
        <fgColor theme="0"/>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theme="0" tint="-0.1499984740745262"/>
        <bgColor indexed="64"/>
      </patternFill>
    </fill>
    <fill>
      <patternFill patternType="solid">
        <fgColor theme="0" tint="-0.249977111117893"/>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8" tint="-0.249977111117893"/>
        <bgColor indexed="64"/>
      </patternFill>
    </fill>
    <fill>
      <patternFill patternType="solid">
        <fgColor theme="0" tint="-0.499984740745262"/>
        <bgColor indexed="64"/>
      </patternFill>
    </fill>
    <fill>
      <patternFill patternType="solid">
        <fgColor rgb="FF0070C0"/>
        <bgColor indexed="64"/>
      </patternFill>
    </fill>
    <fill>
      <patternFill patternType="solid">
        <fgColor rgb="FF0070C0"/>
        <bgColor rgb="FF595959"/>
      </patternFill>
    </fill>
    <fill>
      <patternFill patternType="solid">
        <fgColor rgb="FFC00000"/>
        <bgColor indexed="64"/>
      </patternFill>
    </fill>
  </fills>
  <borders count="7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left>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n">
        <color auto="1"/>
      </left>
      <right style="thin">
        <color theme="0"/>
      </right>
      <top/>
      <bottom style="thin">
        <color indexed="64"/>
      </bottom>
      <diagonal/>
    </border>
    <border>
      <left style="thin">
        <color theme="0"/>
      </left>
      <right style="thin">
        <color theme="0"/>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rgb="FFFF0000"/>
      </left>
      <right style="thin">
        <color indexed="64"/>
      </right>
      <top style="thick">
        <color rgb="FFFF0000"/>
      </top>
      <bottom style="thick">
        <color rgb="FFFF0000"/>
      </bottom>
      <diagonal/>
    </border>
    <border>
      <left style="thin">
        <color indexed="64"/>
      </left>
      <right style="thin">
        <color indexed="64"/>
      </right>
      <top style="thick">
        <color rgb="FFFF0000"/>
      </top>
      <bottom style="thick">
        <color rgb="FFFF0000"/>
      </bottom>
      <diagonal/>
    </border>
    <border>
      <left style="thin">
        <color indexed="64"/>
      </left>
      <right style="thick">
        <color rgb="FFFF0000"/>
      </right>
      <top style="thick">
        <color rgb="FFFF0000"/>
      </top>
      <bottom style="thick">
        <color rgb="FFFF0000"/>
      </bottom>
      <diagonal/>
    </border>
    <border>
      <left style="thin">
        <color theme="0"/>
      </left>
      <right style="thin">
        <color theme="0"/>
      </right>
      <top style="thin">
        <color indexed="64"/>
      </top>
      <bottom/>
      <diagonal/>
    </border>
    <border>
      <left/>
      <right/>
      <top style="thin">
        <color indexed="64"/>
      </top>
      <bottom style="thick">
        <color rgb="FFFF0000"/>
      </bottom>
      <diagonal/>
    </border>
    <border>
      <left style="thin">
        <color indexed="64"/>
      </left>
      <right style="thin">
        <color theme="0"/>
      </right>
      <top style="thin">
        <color indexed="64"/>
      </top>
      <bottom/>
      <diagonal/>
    </border>
    <border>
      <left style="thin">
        <color theme="0"/>
      </left>
      <right/>
      <top style="thin">
        <color indexed="64"/>
      </top>
      <bottom/>
      <diagonal/>
    </border>
    <border>
      <left style="thin">
        <color theme="0"/>
      </left>
      <right/>
      <top/>
      <bottom/>
      <diagonal/>
    </border>
    <border>
      <left/>
      <right style="thin">
        <color theme="0"/>
      </right>
      <top style="thin">
        <color indexed="64"/>
      </top>
      <bottom/>
      <diagonal/>
    </border>
    <border>
      <left/>
      <right style="thin">
        <color theme="0"/>
      </right>
      <top/>
      <bottom/>
      <diagonal/>
    </border>
    <border>
      <left/>
      <right style="thin">
        <color theme="0"/>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ck">
        <color rgb="FFFF0000"/>
      </top>
      <bottom/>
      <diagonal/>
    </border>
    <border>
      <left/>
      <right style="thin">
        <color indexed="64"/>
      </right>
      <top style="thick">
        <color rgb="FFFF0000"/>
      </top>
      <bottom/>
      <diagonal/>
    </border>
    <border>
      <left/>
      <right style="thin">
        <color indexed="64"/>
      </right>
      <top style="thick">
        <color rgb="FFFF0000"/>
      </top>
      <bottom style="thick">
        <color rgb="FFFF0000"/>
      </bottom>
      <diagonal/>
    </border>
  </borders>
  <cellStyleXfs count="5">
    <xf numFmtId="0" fontId="0"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29" fillId="0" borderId="0"/>
  </cellStyleXfs>
  <cellXfs count="322">
    <xf numFmtId="0" fontId="0" fillId="0" borderId="0" applyAlignment="1" pivotButton="0" quotePrefix="0" xfId="0">
      <alignment vertical="center"/>
    </xf>
    <xf numFmtId="0" fontId="14" fillId="2" borderId="1" applyAlignment="1" pivotButton="0" quotePrefix="0" xfId="2">
      <alignment vertical="center"/>
    </xf>
    <xf numFmtId="0" fontId="14" fillId="2" borderId="2" applyAlignment="1" pivotButton="0" quotePrefix="0" xfId="2">
      <alignment vertical="center"/>
    </xf>
    <xf numFmtId="0" fontId="14" fillId="2" borderId="3" applyAlignment="1" pivotButton="0" quotePrefix="0" xfId="2">
      <alignment vertical="center"/>
    </xf>
    <xf numFmtId="0" fontId="15" fillId="0" borderId="0" applyAlignment="1" pivotButton="0" quotePrefix="0" xfId="2">
      <alignment vertical="center"/>
    </xf>
    <xf numFmtId="0" fontId="14" fillId="0" borderId="0" applyAlignment="1" pivotButton="0" quotePrefix="0" xfId="2">
      <alignment horizontal="center" vertical="center"/>
    </xf>
    <xf numFmtId="0" fontId="16" fillId="3" borderId="14" applyAlignment="1" pivotButton="0" quotePrefix="0" xfId="2">
      <alignment horizontal="centerContinuous" vertical="center"/>
    </xf>
    <xf numFmtId="0" fontId="16" fillId="3" borderId="15" applyAlignment="1" pivotButton="0" quotePrefix="0" xfId="2">
      <alignment horizontal="centerContinuous" vertical="center"/>
    </xf>
    <xf numFmtId="0" fontId="16" fillId="3" borderId="16" applyAlignment="1" pivotButton="0" quotePrefix="0" xfId="2">
      <alignment horizontal="centerContinuous" vertical="center"/>
    </xf>
    <xf numFmtId="0" fontId="17" fillId="4" borderId="17" applyAlignment="1" pivotButton="0" quotePrefix="0" xfId="2">
      <alignment horizontal="centerContinuous" vertical="center"/>
    </xf>
    <xf numFmtId="0" fontId="18" fillId="0" borderId="1" applyAlignment="1" pivotButton="0" quotePrefix="0" xfId="2">
      <alignment horizontal="centerContinuous" vertical="center"/>
    </xf>
    <xf numFmtId="0" fontId="18" fillId="0" borderId="3" applyAlignment="1" pivotButton="0" quotePrefix="0" xfId="2">
      <alignment horizontal="centerContinuous" vertical="center"/>
    </xf>
    <xf numFmtId="0" fontId="18" fillId="0" borderId="2" applyAlignment="1" pivotButton="0" quotePrefix="0" xfId="2">
      <alignment horizontal="centerContinuous" vertical="center"/>
    </xf>
    <xf numFmtId="14" fontId="18" fillId="0" borderId="1" applyAlignment="1" pivotButton="0" quotePrefix="0" xfId="2">
      <alignment horizontal="centerContinuous" vertical="center"/>
    </xf>
    <xf numFmtId="20" fontId="18" fillId="0" borderId="1" applyAlignment="1" pivotButton="0" quotePrefix="0" xfId="2">
      <alignment horizontal="centerContinuous" vertical="center"/>
    </xf>
    <xf numFmtId="0" fontId="18" fillId="0" borderId="0" applyAlignment="1" pivotButton="0" quotePrefix="0" xfId="2">
      <alignment horizontal="left" vertical="center"/>
    </xf>
    <xf numFmtId="0" fontId="19" fillId="0" borderId="0" applyAlignment="1" pivotButton="0" quotePrefix="0" xfId="2">
      <alignment horizontal="center" vertical="center"/>
    </xf>
    <xf numFmtId="0" fontId="16" fillId="3" borderId="1" applyAlignment="1" pivotButton="0" quotePrefix="0" xfId="2">
      <alignment horizontal="centerContinuous" vertical="center"/>
    </xf>
    <xf numFmtId="0" fontId="20" fillId="3" borderId="2" applyAlignment="1" pivotButton="0" quotePrefix="0" xfId="2">
      <alignment horizontal="centerContinuous" vertical="center"/>
    </xf>
    <xf numFmtId="0" fontId="20" fillId="3" borderId="3" applyAlignment="1" pivotButton="0" quotePrefix="0" xfId="2">
      <alignment horizontal="centerContinuous" vertical="center"/>
    </xf>
    <xf numFmtId="0" fontId="17" fillId="4" borderId="17" applyAlignment="1" pivotButton="0" quotePrefix="0" xfId="2">
      <alignment horizontal="center" vertical="center"/>
    </xf>
    <xf numFmtId="14" fontId="18" fillId="0" borderId="1" applyAlignment="1" pivotButton="0" quotePrefix="1" xfId="2">
      <alignment horizontal="centerContinuous" vertical="center"/>
    </xf>
    <xf numFmtId="0" fontId="19" fillId="0" borderId="3" applyAlignment="1" pivotButton="0" quotePrefix="0" xfId="2">
      <alignment horizontal="centerContinuous" vertical="center"/>
    </xf>
    <xf numFmtId="0" fontId="16" fillId="3" borderId="2" applyAlignment="1" pivotButton="0" quotePrefix="0" xfId="2">
      <alignment horizontal="centerContinuous" vertical="center"/>
    </xf>
    <xf numFmtId="0" fontId="16" fillId="3" borderId="22" applyAlignment="1" pivotButton="0" quotePrefix="0" xfId="2">
      <alignment horizontal="centerContinuous" vertical="center"/>
    </xf>
    <xf numFmtId="0" fontId="16" fillId="3" borderId="23" applyAlignment="1" pivotButton="0" quotePrefix="0" xfId="2">
      <alignment horizontal="centerContinuous" vertical="center"/>
    </xf>
    <xf numFmtId="0" fontId="16" fillId="3" borderId="16" applyAlignment="1" pivotButton="0" quotePrefix="0" xfId="2">
      <alignment horizontal="center" vertical="center"/>
    </xf>
    <xf numFmtId="0" fontId="18" fillId="0" borderId="1" applyAlignment="1" pivotButton="0" quotePrefix="0" xfId="2">
      <alignment vertical="center"/>
    </xf>
    <xf numFmtId="0" fontId="18" fillId="0" borderId="2" applyAlignment="1" pivotButton="0" quotePrefix="0" xfId="2">
      <alignment vertical="center"/>
    </xf>
    <xf numFmtId="0" fontId="18" fillId="0" borderId="3" applyAlignment="1" pivotButton="0" quotePrefix="0" xfId="2">
      <alignment vertical="center"/>
    </xf>
    <xf numFmtId="0" fontId="9" fillId="7" borderId="17" applyAlignment="1" pivotButton="0" quotePrefix="0" xfId="2">
      <alignment horizontal="center" vertical="center"/>
    </xf>
    <xf numFmtId="0" fontId="15" fillId="0" borderId="0" applyAlignment="1" pivotButton="0" quotePrefix="0" xfId="2">
      <alignment horizontal="left" vertical="center"/>
    </xf>
    <xf numFmtId="0" fontId="15" fillId="0" borderId="1" applyAlignment="1" pivotButton="0" quotePrefix="0" xfId="2">
      <alignment vertical="center"/>
    </xf>
    <xf numFmtId="0" fontId="15" fillId="0" borderId="2" applyAlignment="1" pivotButton="0" quotePrefix="0" xfId="2">
      <alignment vertical="center"/>
    </xf>
    <xf numFmtId="0" fontId="18" fillId="0" borderId="0" applyAlignment="1" pivotButton="0" quotePrefix="0" xfId="2">
      <alignment vertical="center"/>
    </xf>
    <xf numFmtId="0" fontId="21" fillId="0" borderId="0" applyAlignment="1" pivotButton="0" quotePrefix="0" xfId="2">
      <alignment horizontal="left" vertical="center"/>
    </xf>
    <xf numFmtId="0" fontId="22" fillId="0" borderId="0" applyAlignment="1" pivotButton="0" quotePrefix="0" xfId="2">
      <alignment horizontal="left" vertical="center"/>
    </xf>
    <xf numFmtId="0" fontId="19" fillId="5" borderId="11" applyAlignment="1" pivotButton="0" quotePrefix="0" xfId="2">
      <alignment vertical="center"/>
    </xf>
    <xf numFmtId="0" fontId="19" fillId="5" borderId="12" applyAlignment="1" pivotButton="0" quotePrefix="0" xfId="2">
      <alignment vertical="center"/>
    </xf>
    <xf numFmtId="0" fontId="16" fillId="3" borderId="24" applyAlignment="1" pivotButton="0" quotePrefix="0" xfId="2">
      <alignment horizontal="centerContinuous" vertical="center"/>
    </xf>
    <xf numFmtId="0" fontId="16" fillId="3" borderId="25" applyAlignment="1" pivotButton="0" quotePrefix="0" xfId="2">
      <alignment horizontal="centerContinuous" vertical="center"/>
    </xf>
    <xf numFmtId="0" fontId="16" fillId="3" borderId="18" applyAlignment="1" pivotButton="0" quotePrefix="0" xfId="2">
      <alignment horizontal="centerContinuous" vertical="center"/>
    </xf>
    <xf numFmtId="0" fontId="19" fillId="5" borderId="17" applyAlignment="1" pivotButton="0" quotePrefix="0" xfId="2">
      <alignment horizontal="center" vertical="center"/>
    </xf>
    <xf numFmtId="164" fontId="19" fillId="0" borderId="17" applyAlignment="1" pivotButton="0" quotePrefix="1" xfId="2">
      <alignment horizontal="centerContinuous" vertical="center"/>
    </xf>
    <xf numFmtId="9" fontId="18" fillId="0" borderId="17" applyAlignment="1" pivotButton="0" quotePrefix="0" xfId="2">
      <alignment horizontal="center" vertical="center"/>
    </xf>
    <xf numFmtId="0" fontId="19" fillId="5" borderId="19" applyAlignment="1" pivotButton="0" quotePrefix="0" xfId="2">
      <alignment horizontal="center" vertical="center"/>
    </xf>
    <xf numFmtId="164" fontId="19" fillId="0" borderId="19" applyAlignment="1" pivotButton="0" quotePrefix="0" xfId="2">
      <alignment horizontal="centerContinuous" vertical="center"/>
    </xf>
    <xf numFmtId="9" fontId="18" fillId="0" borderId="19" applyAlignment="1" pivotButton="0" quotePrefix="0" xfId="2">
      <alignment horizontal="center" vertical="center"/>
    </xf>
    <xf numFmtId="0" fontId="23" fillId="5" borderId="20" applyAlignment="1" pivotButton="0" quotePrefix="0" xfId="2">
      <alignment horizontal="center" vertical="center" wrapText="1"/>
    </xf>
    <xf numFmtId="0" fontId="23" fillId="0" borderId="21" applyAlignment="1" pivotButton="0" quotePrefix="0" xfId="2">
      <alignment horizontal="center" vertical="center"/>
    </xf>
    <xf numFmtId="0" fontId="23" fillId="0" borderId="20" applyAlignment="1" pivotButton="0" quotePrefix="0" xfId="2">
      <alignment horizontal="center" vertical="center"/>
    </xf>
    <xf numFmtId="0" fontId="17" fillId="6" borderId="0" applyAlignment="1" pivotButton="0" quotePrefix="0" xfId="2">
      <alignment vertical="center"/>
    </xf>
    <xf numFmtId="0" fontId="17" fillId="0" borderId="0" applyAlignment="1" pivotButton="0" quotePrefix="0" xfId="2">
      <alignment vertical="center"/>
    </xf>
    <xf numFmtId="0" fontId="25" fillId="0" borderId="0" applyAlignment="1" pivotButton="0" quotePrefix="0" xfId="2">
      <alignment vertical="center"/>
    </xf>
    <xf numFmtId="0" fontId="22" fillId="6" borderId="0" applyAlignment="1" pivotButton="0" quotePrefix="0" xfId="2">
      <alignment vertical="center"/>
    </xf>
    <xf numFmtId="0" fontId="7" fillId="2" borderId="1" applyAlignment="1" pivotButton="0" quotePrefix="0" xfId="3">
      <alignment vertical="center"/>
    </xf>
    <xf numFmtId="0" fontId="7" fillId="2" borderId="2" applyAlignment="1" pivotButton="0" quotePrefix="0" xfId="3">
      <alignment vertical="center"/>
    </xf>
    <xf numFmtId="0" fontId="7" fillId="2" borderId="3" applyAlignment="1" pivotButton="0" quotePrefix="0" xfId="3">
      <alignment vertical="center"/>
    </xf>
    <xf numFmtId="0" fontId="8" fillId="0" borderId="0" applyAlignment="1" pivotButton="0" quotePrefix="0" xfId="3">
      <alignment vertical="center"/>
    </xf>
    <xf numFmtId="0" fontId="7" fillId="0" borderId="0" applyAlignment="1" pivotButton="0" quotePrefix="0" xfId="3">
      <alignment horizontal="center" vertical="center"/>
    </xf>
    <xf numFmtId="0" fontId="9" fillId="0" borderId="0" applyAlignment="1" pivotButton="0" quotePrefix="0" xfId="3">
      <alignment horizontal="center" vertical="center"/>
    </xf>
    <xf numFmtId="0" fontId="10" fillId="0" borderId="0" applyAlignment="1" pivotButton="0" quotePrefix="0" xfId="3">
      <alignment horizontal="left" vertical="center"/>
    </xf>
    <xf numFmtId="0" fontId="12" fillId="0" borderId="0" applyAlignment="1" pivotButton="0" quotePrefix="0" xfId="3">
      <alignment horizontal="left" vertical="center"/>
    </xf>
    <xf numFmtId="0" fontId="11" fillId="6" borderId="0" applyAlignment="1" pivotButton="0" quotePrefix="0" xfId="3">
      <alignment vertical="center"/>
    </xf>
    <xf numFmtId="0" fontId="13" fillId="0" borderId="0" applyAlignment="1" pivotButton="0" quotePrefix="0" xfId="3">
      <alignment vertical="center"/>
    </xf>
    <xf numFmtId="0" fontId="10" fillId="0" borderId="0" applyAlignment="1" pivotButton="0" quotePrefix="0" xfId="4">
      <alignment vertical="center"/>
    </xf>
    <xf numFmtId="0" fontId="3" fillId="10" borderId="17" applyAlignment="1" pivotButton="0" quotePrefix="0" xfId="2">
      <alignment horizontal="center" vertical="center"/>
    </xf>
    <xf numFmtId="0" fontId="3" fillId="11" borderId="17" applyAlignment="1" pivotButton="0" quotePrefix="0" xfId="2">
      <alignment vertical="center"/>
    </xf>
    <xf numFmtId="0" fontId="3" fillId="0" borderId="0" applyAlignment="1" pivotButton="0" quotePrefix="0" xfId="2">
      <alignment vertical="center"/>
    </xf>
    <xf numFmtId="0" fontId="31" fillId="0" borderId="0" applyAlignment="1" pivotButton="0" quotePrefix="0" xfId="3">
      <alignment horizontal="center" vertical="center"/>
    </xf>
    <xf numFmtId="0" fontId="30" fillId="0" borderId="0" applyAlignment="1" pivotButton="0" quotePrefix="0" xfId="3">
      <alignment horizontal="left" vertical="top" wrapText="1"/>
    </xf>
    <xf numFmtId="0" fontId="10" fillId="0" borderId="0" applyAlignment="1" pivotButton="0" quotePrefix="0" xfId="3">
      <alignment horizontal="left" vertical="top"/>
    </xf>
    <xf numFmtId="0" fontId="3" fillId="11" borderId="17" applyAlignment="1" pivotButton="0" quotePrefix="0" xfId="2">
      <alignment vertical="center" shrinkToFit="1"/>
    </xf>
    <xf numFmtId="0" fontId="27" fillId="0" borderId="0" applyAlignment="1" pivotButton="0" quotePrefix="0" xfId="3">
      <alignment horizontal="center" vertical="center"/>
    </xf>
    <xf numFmtId="0" fontId="31" fillId="2" borderId="17" applyAlignment="1" pivotButton="0" quotePrefix="0" xfId="3">
      <alignment horizontal="center" vertical="center"/>
    </xf>
    <xf numFmtId="0" fontId="31" fillId="14" borderId="17" applyAlignment="1" pivotButton="0" quotePrefix="0" xfId="3">
      <alignment horizontal="center" vertical="center"/>
    </xf>
    <xf numFmtId="0" fontId="34" fillId="0" borderId="0" applyAlignment="1" pivotButton="0" quotePrefix="0" xfId="0">
      <alignment horizontal="center" vertical="center"/>
    </xf>
    <xf numFmtId="0" fontId="35" fillId="0" borderId="17" applyAlignment="1" pivotButton="0" quotePrefix="0" xfId="3">
      <alignment horizontal="center" vertical="center"/>
    </xf>
    <xf numFmtId="0" fontId="33" fillId="0" borderId="17" applyAlignment="1" pivotButton="0" quotePrefix="0" xfId="0">
      <alignment horizontal="center" vertical="center"/>
    </xf>
    <xf numFmtId="0" fontId="9" fillId="0" borderId="17" applyAlignment="1" pivotButton="0" quotePrefix="0" xfId="0">
      <alignment horizontal="center" vertical="center"/>
    </xf>
    <xf numFmtId="0" fontId="31" fillId="16" borderId="17" applyAlignment="1" pivotButton="0" quotePrefix="0" xfId="4">
      <alignment horizontal="center" vertical="center"/>
    </xf>
    <xf numFmtId="0" fontId="37" fillId="0" borderId="17" applyAlignment="1" pivotButton="0" quotePrefix="0" xfId="3">
      <alignment horizontal="left" vertical="center" wrapText="1"/>
    </xf>
    <xf numFmtId="0" fontId="37" fillId="0" borderId="17" applyAlignment="1" pivotButton="0" quotePrefix="0" xfId="3">
      <alignment horizontal="left" vertical="center"/>
    </xf>
    <xf numFmtId="0" fontId="40" fillId="8" borderId="5" applyAlignment="1" pivotButton="0" quotePrefix="0" xfId="3">
      <alignment horizontal="center" vertical="center"/>
    </xf>
    <xf numFmtId="0" fontId="40" fillId="8" borderId="32" applyAlignment="1" pivotButton="0" quotePrefix="0" xfId="3">
      <alignment horizontal="center" vertical="center"/>
    </xf>
    <xf numFmtId="0" fontId="40" fillId="8" borderId="0" applyAlignment="1" pivotButton="0" quotePrefix="0" xfId="3">
      <alignment horizontal="center" vertical="center"/>
    </xf>
    <xf numFmtId="0" fontId="40" fillId="8" borderId="34" applyAlignment="1" pivotButton="0" quotePrefix="0" xfId="3">
      <alignment horizontal="center" vertical="center"/>
    </xf>
    <xf numFmtId="0" fontId="40" fillId="8" borderId="12" applyAlignment="1" pivotButton="0" quotePrefix="0" xfId="3">
      <alignment horizontal="center" vertical="center"/>
    </xf>
    <xf numFmtId="0" fontId="40" fillId="8" borderId="36" applyAlignment="1" pivotButton="0" quotePrefix="0" xfId="3">
      <alignment horizontal="center" vertical="center"/>
    </xf>
    <xf numFmtId="0" fontId="41" fillId="8" borderId="31" applyAlignment="1" pivotButton="0" quotePrefix="0" xfId="3">
      <alignment horizontal="left" vertical="center"/>
    </xf>
    <xf numFmtId="0" fontId="41" fillId="8" borderId="33" applyAlignment="1" pivotButton="0" quotePrefix="0" xfId="3">
      <alignment horizontal="left" vertical="center"/>
    </xf>
    <xf numFmtId="0" fontId="41" fillId="8" borderId="35" applyAlignment="1" pivotButton="0" quotePrefix="0" xfId="3">
      <alignment horizontal="left" vertical="center"/>
    </xf>
    <xf numFmtId="0" fontId="43" fillId="0" borderId="0" applyAlignment="1" pivotButton="0" quotePrefix="0" xfId="0">
      <alignment vertical="center"/>
    </xf>
    <xf numFmtId="0" fontId="1" fillId="10" borderId="17" applyAlignment="1" pivotButton="0" quotePrefix="0" xfId="2">
      <alignment horizontal="center" vertical="center"/>
    </xf>
    <xf numFmtId="0" fontId="1" fillId="11" borderId="17" applyAlignment="1" pivotButton="0" quotePrefix="0" xfId="2">
      <alignment vertical="center"/>
    </xf>
    <xf numFmtId="0" fontId="1" fillId="11" borderId="17" applyAlignment="1" pivotButton="0" quotePrefix="0" xfId="2">
      <alignment horizontal="center" vertical="center" shrinkToFit="1"/>
    </xf>
    <xf numFmtId="0" fontId="1" fillId="11" borderId="17" applyAlignment="1" pivotButton="0" quotePrefix="0" xfId="2">
      <alignment horizontal="center" vertical="center"/>
    </xf>
    <xf numFmtId="0" fontId="1" fillId="11" borderId="17" applyAlignment="1" pivotButton="0" quotePrefix="0" xfId="2">
      <alignment vertical="center" shrinkToFit="1"/>
    </xf>
    <xf numFmtId="0" fontId="10" fillId="0" borderId="31" applyAlignment="1" pivotButton="0" quotePrefix="0" xfId="3">
      <alignment horizontal="left" vertical="center"/>
    </xf>
    <xf numFmtId="0" fontId="10" fillId="0" borderId="6" applyAlignment="1" pivotButton="0" quotePrefix="0" xfId="3">
      <alignment horizontal="left" vertical="center"/>
    </xf>
    <xf numFmtId="0" fontId="10" fillId="0" borderId="4" applyAlignment="1" pivotButton="0" quotePrefix="0" xfId="3">
      <alignment horizontal="left" vertical="center"/>
    </xf>
    <xf numFmtId="0" fontId="10" fillId="0" borderId="5" applyAlignment="1" pivotButton="0" quotePrefix="0" xfId="3">
      <alignment horizontal="left" vertical="center"/>
    </xf>
    <xf numFmtId="0" fontId="10" fillId="12" borderId="4" applyAlignment="1" pivotButton="0" quotePrefix="0" xfId="3">
      <alignment horizontal="left" vertical="center"/>
    </xf>
    <xf numFmtId="0" fontId="10" fillId="12" borderId="5" applyAlignment="1" pivotButton="0" quotePrefix="0" xfId="3">
      <alignment horizontal="left" vertical="center"/>
    </xf>
    <xf numFmtId="0" fontId="10" fillId="12" borderId="32" applyAlignment="1" pivotButton="0" quotePrefix="0" xfId="3">
      <alignment horizontal="left" vertical="center"/>
    </xf>
    <xf numFmtId="0" fontId="10" fillId="0" borderId="33" applyAlignment="1" pivotButton="0" quotePrefix="0" xfId="3">
      <alignment horizontal="left" vertical="center"/>
    </xf>
    <xf numFmtId="0" fontId="10" fillId="0" borderId="9" applyAlignment="1" pivotButton="0" quotePrefix="0" xfId="3">
      <alignment horizontal="left" vertical="center"/>
    </xf>
    <xf numFmtId="0" fontId="10" fillId="0" borderId="8" applyAlignment="1" pivotButton="0" quotePrefix="0" xfId="3">
      <alignment horizontal="left" vertical="center"/>
    </xf>
    <xf numFmtId="0" fontId="10" fillId="12" borderId="8" applyAlignment="1" pivotButton="0" quotePrefix="0" xfId="3">
      <alignment horizontal="left" vertical="center"/>
    </xf>
    <xf numFmtId="0" fontId="10" fillId="12" borderId="0" applyAlignment="1" pivotButton="0" quotePrefix="0" xfId="3">
      <alignment horizontal="left" vertical="center"/>
    </xf>
    <xf numFmtId="0" fontId="10" fillId="12" borderId="34" applyAlignment="1" pivotButton="0" quotePrefix="0" xfId="3">
      <alignment horizontal="left" vertical="center"/>
    </xf>
    <xf numFmtId="0" fontId="10" fillId="0" borderId="35" applyAlignment="1" pivotButton="0" quotePrefix="0" xfId="3">
      <alignment horizontal="left" vertical="center"/>
    </xf>
    <xf numFmtId="0" fontId="10" fillId="0" borderId="13" applyAlignment="1" pivotButton="0" quotePrefix="0" xfId="3">
      <alignment horizontal="left" vertical="center"/>
    </xf>
    <xf numFmtId="0" fontId="10" fillId="0" borderId="11" applyAlignment="1" pivotButton="0" quotePrefix="0" xfId="3">
      <alignment horizontal="left" vertical="center"/>
    </xf>
    <xf numFmtId="0" fontId="10" fillId="0" borderId="12" applyAlignment="1" pivotButton="0" quotePrefix="0" xfId="3">
      <alignment horizontal="left" vertical="center"/>
    </xf>
    <xf numFmtId="0" fontId="10" fillId="12" borderId="11" applyAlignment="1" pivotButton="0" quotePrefix="0" xfId="3">
      <alignment horizontal="left" vertical="center"/>
    </xf>
    <xf numFmtId="0" fontId="10" fillId="12" borderId="12" applyAlignment="1" pivotButton="0" quotePrefix="0" xfId="3">
      <alignment horizontal="left" vertical="center"/>
    </xf>
    <xf numFmtId="0" fontId="10" fillId="12" borderId="36" applyAlignment="1" pivotButton="0" quotePrefix="0" xfId="3">
      <alignment horizontal="left" vertical="center"/>
    </xf>
    <xf numFmtId="0" fontId="9" fillId="0" borderId="31" applyAlignment="1" pivotButton="0" quotePrefix="0" xfId="3">
      <alignment horizontal="left" vertical="center"/>
    </xf>
    <xf numFmtId="0" fontId="9" fillId="0" borderId="4" applyAlignment="1" pivotButton="0" quotePrefix="0" xfId="3">
      <alignment horizontal="left" vertical="center"/>
    </xf>
    <xf numFmtId="0" fontId="9" fillId="12" borderId="4" applyAlignment="1" pivotButton="0" quotePrefix="0" xfId="3">
      <alignment horizontal="left" vertical="center"/>
    </xf>
    <xf numFmtId="0" fontId="46" fillId="0" borderId="0" applyAlignment="1" pivotButton="0" quotePrefix="0" xfId="3">
      <alignment vertical="center"/>
    </xf>
    <xf numFmtId="0" fontId="8" fillId="0" borderId="12" applyAlignment="1" pivotButton="0" quotePrefix="0" xfId="3">
      <alignment vertical="center"/>
    </xf>
    <xf numFmtId="0" fontId="10" fillId="0" borderId="1" applyAlignment="1" pivotButton="0" quotePrefix="0" xfId="3">
      <alignment horizontal="center" vertical="center" wrapText="1"/>
    </xf>
    <xf numFmtId="0" fontId="10" fillId="0" borderId="2" applyAlignment="1" pivotButton="0" quotePrefix="0" xfId="3">
      <alignment horizontal="center" vertical="center" wrapText="1"/>
    </xf>
    <xf numFmtId="0" fontId="10" fillId="0" borderId="3" applyAlignment="1" pivotButton="0" quotePrefix="0" xfId="3">
      <alignment horizontal="center" vertical="center" wrapText="1"/>
    </xf>
    <xf numFmtId="0" fontId="10" fillId="0" borderId="29" applyAlignment="1" pivotButton="0" quotePrefix="0" xfId="3">
      <alignment horizontal="center" vertical="center"/>
    </xf>
    <xf numFmtId="0" fontId="10" fillId="0" borderId="3" applyAlignment="1" pivotButton="0" quotePrefix="0" xfId="3">
      <alignment horizontal="center" vertical="center"/>
    </xf>
    <xf numFmtId="0" fontId="10" fillId="0" borderId="2" applyAlignment="1" pivotButton="0" quotePrefix="0" xfId="3">
      <alignment horizontal="center" vertical="center"/>
    </xf>
    <xf numFmtId="0" fontId="10" fillId="0" borderId="1" applyAlignment="1" pivotButton="0" quotePrefix="0" xfId="3">
      <alignment horizontal="center" vertical="center"/>
    </xf>
    <xf numFmtId="0" fontId="10" fillId="0" borderId="4" applyAlignment="1" pivotButton="0" quotePrefix="0" xfId="3">
      <alignment horizontal="center" vertical="center"/>
    </xf>
    <xf numFmtId="0" fontId="10" fillId="0" borderId="5" applyAlignment="1" pivotButton="0" quotePrefix="0" xfId="3">
      <alignment horizontal="center" vertical="center"/>
    </xf>
    <xf numFmtId="0" fontId="10" fillId="0" borderId="6" applyAlignment="1" pivotButton="0" quotePrefix="0" xfId="3">
      <alignment horizontal="center" vertical="center"/>
    </xf>
    <xf numFmtId="0" fontId="10" fillId="0" borderId="8" applyAlignment="1" pivotButton="0" quotePrefix="0" xfId="3">
      <alignment horizontal="center" vertical="center"/>
    </xf>
    <xf numFmtId="0" fontId="10" fillId="0" borderId="0" applyAlignment="1" pivotButton="0" quotePrefix="0" xfId="3">
      <alignment horizontal="center" vertical="center"/>
    </xf>
    <xf numFmtId="0" fontId="10" fillId="0" borderId="9" applyAlignment="1" pivotButton="0" quotePrefix="0" xfId="3">
      <alignment horizontal="center" vertical="center"/>
    </xf>
    <xf numFmtId="0" fontId="10" fillId="0" borderId="11" applyAlignment="1" pivotButton="0" quotePrefix="0" xfId="3">
      <alignment horizontal="center" vertical="center"/>
    </xf>
    <xf numFmtId="0" fontId="10" fillId="0" borderId="12" applyAlignment="1" pivotButton="0" quotePrefix="0" xfId="3">
      <alignment horizontal="center" vertical="center"/>
    </xf>
    <xf numFmtId="0" fontId="10" fillId="0" borderId="13" applyAlignment="1" pivotButton="0" quotePrefix="0" xfId="3">
      <alignment horizontal="center" vertical="center"/>
    </xf>
    <xf numFmtId="0" fontId="11" fillId="9" borderId="1" applyAlignment="1" pivotButton="0" quotePrefix="0" xfId="3">
      <alignment horizontal="center" vertical="center"/>
    </xf>
    <xf numFmtId="0" fontId="11" fillId="9" borderId="2" applyAlignment="1" pivotButton="0" quotePrefix="0" xfId="3">
      <alignment horizontal="center" vertical="center"/>
    </xf>
    <xf numFmtId="0" fontId="11" fillId="9" borderId="3" applyAlignment="1" pivotButton="0" quotePrefix="0" xfId="3">
      <alignment horizontal="center" vertical="center"/>
    </xf>
    <xf numFmtId="0" fontId="31" fillId="17" borderId="37" applyAlignment="1" pivotButton="0" quotePrefix="0" xfId="3">
      <alignment horizontal="center" vertical="center"/>
    </xf>
    <xf numFmtId="0" fontId="31" fillId="17" borderId="17" applyAlignment="1" pivotButton="0" quotePrefix="0" xfId="3">
      <alignment horizontal="center" vertical="center"/>
    </xf>
    <xf numFmtId="0" fontId="31" fillId="17" borderId="38" applyAlignment="1" pivotButton="0" quotePrefix="0" xfId="3">
      <alignment horizontal="center" vertical="center"/>
    </xf>
    <xf numFmtId="0" fontId="31" fillId="13" borderId="26" applyAlignment="1" pivotButton="0" quotePrefix="0" xfId="3">
      <alignment horizontal="center" vertical="center"/>
    </xf>
    <xf numFmtId="0" fontId="31" fillId="13" borderId="27" applyAlignment="1" pivotButton="0" quotePrefix="0" xfId="3">
      <alignment horizontal="center" vertical="center"/>
    </xf>
    <xf numFmtId="0" fontId="31" fillId="13" borderId="28" applyAlignment="1" pivotButton="0" quotePrefix="0" xfId="3">
      <alignment horizontal="center" vertical="center"/>
    </xf>
    <xf numFmtId="0" fontId="11" fillId="9" borderId="29" applyAlignment="1" pivotButton="0" quotePrefix="0" xfId="3">
      <alignment horizontal="center" vertical="center"/>
    </xf>
    <xf numFmtId="0" fontId="32" fillId="0" borderId="48" applyAlignment="1" pivotButton="0" quotePrefix="0" xfId="4">
      <alignment horizontal="center" vertical="center"/>
    </xf>
    <xf numFmtId="0" fontId="32" fillId="0" borderId="49" applyAlignment="1" pivotButton="0" quotePrefix="0" xfId="4">
      <alignment horizontal="center" vertical="center"/>
    </xf>
    <xf numFmtId="0" fontId="31" fillId="16" borderId="10" applyAlignment="1" pivotButton="0" quotePrefix="0" xfId="4">
      <alignment horizontal="center" vertical="center"/>
    </xf>
    <xf numFmtId="0" fontId="27" fillId="0" borderId="10" applyAlignment="1" pivotButton="0" quotePrefix="0" xfId="3">
      <alignment horizontal="center" vertical="center"/>
    </xf>
    <xf numFmtId="0" fontId="31" fillId="16" borderId="17" applyAlignment="1" pivotButton="0" quotePrefix="0" xfId="4">
      <alignment horizontal="center" vertical="center"/>
    </xf>
    <xf numFmtId="0" fontId="31" fillId="14" borderId="17" applyAlignment="1" pivotButton="0" quotePrefix="0" xfId="3">
      <alignment horizontal="center" vertical="center"/>
    </xf>
    <xf numFmtId="0" fontId="27" fillId="0" borderId="17" applyAlignment="1" pivotButton="0" quotePrefix="0" xfId="3">
      <alignment horizontal="left" vertical="center"/>
    </xf>
    <xf numFmtId="0" fontId="31" fillId="2" borderId="17" applyAlignment="1" pivotButton="0" quotePrefix="0" xfId="3">
      <alignment horizontal="center" vertical="center"/>
    </xf>
    <xf numFmtId="0" fontId="31" fillId="2" borderId="14" applyAlignment="1" pivotButton="0" quotePrefix="0" xfId="3">
      <alignment horizontal="center" vertical="center"/>
    </xf>
    <xf numFmtId="0" fontId="27" fillId="6" borderId="17" applyAlignment="1" pivotButton="0" quotePrefix="0" xfId="4">
      <alignment horizontal="center" vertical="center"/>
    </xf>
    <xf numFmtId="0" fontId="35" fillId="0" borderId="17" applyAlignment="1" pivotButton="0" quotePrefix="0" xfId="3">
      <alignment horizontal="center" vertical="center"/>
    </xf>
    <xf numFmtId="0" fontId="27" fillId="0" borderId="17" applyAlignment="1" pivotButton="0" quotePrefix="0" xfId="3">
      <alignment horizontal="left" vertical="center" wrapText="1"/>
    </xf>
    <xf numFmtId="0" fontId="42" fillId="0" borderId="17" applyAlignment="1" pivotButton="0" quotePrefix="0" xfId="3">
      <alignment horizontal="center" vertical="center"/>
    </xf>
    <xf numFmtId="0" fontId="31" fillId="2" borderId="3" applyAlignment="1" pivotButton="0" quotePrefix="0" xfId="3">
      <alignment horizontal="center" vertical="center"/>
    </xf>
    <xf numFmtId="0" fontId="39" fillId="0" borderId="39" applyAlignment="1" pivotButton="0" quotePrefix="0" xfId="3">
      <alignment horizontal="center" vertical="center"/>
    </xf>
    <xf numFmtId="0" fontId="39" fillId="0" borderId="40" applyAlignment="1" pivotButton="0" quotePrefix="0" xfId="3">
      <alignment horizontal="center" vertical="center"/>
    </xf>
    <xf numFmtId="0" fontId="33" fillId="0" borderId="41" applyAlignment="1" pivotButton="0" quotePrefix="0" xfId="3">
      <alignment horizontal="left" vertical="center" wrapText="1"/>
    </xf>
    <xf numFmtId="0" fontId="33" fillId="0" borderId="42" applyAlignment="1" pivotButton="0" quotePrefix="0" xfId="3">
      <alignment horizontal="left" vertical="center" wrapText="1"/>
    </xf>
    <xf numFmtId="0" fontId="33" fillId="0" borderId="40" applyAlignment="1" pivotButton="0" quotePrefix="0" xfId="3">
      <alignment horizontal="left" vertical="center" wrapText="1"/>
    </xf>
    <xf numFmtId="14" fontId="28" fillId="0" borderId="17" applyAlignment="1" pivotButton="0" quotePrefix="0" xfId="4">
      <alignment horizontal="center" vertical="center"/>
    </xf>
    <xf numFmtId="14" fontId="28" fillId="0" borderId="1" applyAlignment="1" pivotButton="0" quotePrefix="0" xfId="4">
      <alignment horizontal="center" vertical="center"/>
    </xf>
    <xf numFmtId="0" fontId="31" fillId="15" borderId="17" applyAlignment="1" pivotButton="0" quotePrefix="0" xfId="4">
      <alignment horizontal="center" vertical="center"/>
    </xf>
    <xf numFmtId="0" fontId="31" fillId="15" borderId="47" applyAlignment="1" pivotButton="0" quotePrefix="0" xfId="4">
      <alignment horizontal="center" vertical="center"/>
    </xf>
    <xf numFmtId="0" fontId="31" fillId="15" borderId="48" applyAlignment="1" pivotButton="0" quotePrefix="0" xfId="4">
      <alignment horizontal="center" vertical="center"/>
    </xf>
    <xf numFmtId="0" fontId="27" fillId="0" borderId="17" applyAlignment="1" pivotButton="0" quotePrefix="0" xfId="3">
      <alignment horizontal="center" vertical="center"/>
    </xf>
    <xf numFmtId="0" fontId="10" fillId="12" borderId="1" applyAlignment="1" pivotButton="0" quotePrefix="0" xfId="3">
      <alignment horizontal="center" vertical="center" wrapText="1"/>
    </xf>
    <xf numFmtId="0" fontId="10" fillId="12" borderId="2" applyAlignment="1" pivotButton="0" quotePrefix="0" xfId="3">
      <alignment horizontal="center" vertical="center" wrapText="1"/>
    </xf>
    <xf numFmtId="0" fontId="10" fillId="12" borderId="30" applyAlignment="1" pivotButton="0" quotePrefix="0" xfId="3">
      <alignment horizontal="center" vertical="center" wrapText="1"/>
    </xf>
    <xf numFmtId="0" fontId="31" fillId="2" borderId="26" applyAlignment="1" pivotButton="0" quotePrefix="0" xfId="3">
      <alignment horizontal="center" vertical="center"/>
    </xf>
    <xf numFmtId="0" fontId="31" fillId="2" borderId="27" applyAlignment="1" pivotButton="0" quotePrefix="0" xfId="3">
      <alignment horizontal="center" vertical="center"/>
    </xf>
    <xf numFmtId="0" fontId="31" fillId="2" borderId="28" applyAlignment="1" pivotButton="0" quotePrefix="0" xfId="3">
      <alignment horizontal="center" vertical="center"/>
    </xf>
    <xf numFmtId="0" fontId="31" fillId="2" borderId="37" applyAlignment="1" pivotButton="0" quotePrefix="0" xfId="3">
      <alignment horizontal="center" vertical="center"/>
    </xf>
    <xf numFmtId="0" fontId="31" fillId="2" borderId="38" applyAlignment="1" pivotButton="0" quotePrefix="0" xfId="3">
      <alignment horizontal="center" vertical="center"/>
    </xf>
    <xf numFmtId="0" fontId="31" fillId="17" borderId="26" applyAlignment="1" pivotButton="0" quotePrefix="0" xfId="3">
      <alignment horizontal="center" vertical="center"/>
    </xf>
    <xf numFmtId="0" fontId="31" fillId="17" borderId="27" applyAlignment="1" pivotButton="0" quotePrefix="0" xfId="3">
      <alignment horizontal="center" vertical="center"/>
    </xf>
    <xf numFmtId="0" fontId="31" fillId="17" borderId="28" applyAlignment="1" pivotButton="0" quotePrefix="0" xfId="3">
      <alignment horizontal="center" vertical="center"/>
    </xf>
    <xf numFmtId="0" fontId="11" fillId="9" borderId="30" applyAlignment="1" pivotButton="0" quotePrefix="0" xfId="3">
      <alignment horizontal="center" vertical="center"/>
    </xf>
    <xf numFmtId="0" fontId="10" fillId="0" borderId="41" applyAlignment="1" pivotButton="0" quotePrefix="0" xfId="3">
      <alignment horizontal="left" vertical="top" wrapText="1"/>
    </xf>
    <xf numFmtId="0" fontId="45" fillId="0" borderId="42" applyAlignment="1" pivotButton="0" quotePrefix="0" xfId="3">
      <alignment horizontal="left" vertical="top" wrapText="1"/>
    </xf>
    <xf numFmtId="0" fontId="45" fillId="0" borderId="43" applyAlignment="1" pivotButton="0" quotePrefix="0" xfId="3">
      <alignment horizontal="left" vertical="top" wrapText="1"/>
    </xf>
    <xf numFmtId="0" fontId="31" fillId="13" borderId="37" applyAlignment="1" pivotButton="0" quotePrefix="0" xfId="3">
      <alignment horizontal="center" vertical="center"/>
    </xf>
    <xf numFmtId="0" fontId="31" fillId="13" borderId="17" applyAlignment="1" pivotButton="0" quotePrefix="0" xfId="3">
      <alignment horizontal="center" vertical="center"/>
    </xf>
    <xf numFmtId="0" fontId="31" fillId="13" borderId="38" applyAlignment="1" pivotButton="0" quotePrefix="0" xfId="3">
      <alignment horizontal="center" vertical="center"/>
    </xf>
    <xf numFmtId="0" fontId="10" fillId="0" borderId="4" applyAlignment="1" pivotButton="0" quotePrefix="0" xfId="3">
      <alignment horizontal="center" vertical="center" wrapText="1"/>
    </xf>
    <xf numFmtId="0" fontId="10" fillId="0" borderId="5" applyAlignment="1" pivotButton="0" quotePrefix="0" xfId="3">
      <alignment horizontal="center" vertical="center" wrapText="1"/>
    </xf>
    <xf numFmtId="0" fontId="10" fillId="0" borderId="6" applyAlignment="1" pivotButton="0" quotePrefix="0" xfId="3">
      <alignment horizontal="center" vertical="center" wrapText="1"/>
    </xf>
    <xf numFmtId="0" fontId="10" fillId="0" borderId="8" applyAlignment="1" pivotButton="0" quotePrefix="0" xfId="3">
      <alignment horizontal="center" vertical="center" wrapText="1"/>
    </xf>
    <xf numFmtId="0" fontId="10" fillId="0" borderId="0" applyAlignment="1" pivotButton="0" quotePrefix="0" xfId="3">
      <alignment horizontal="center" vertical="center" wrapText="1"/>
    </xf>
    <xf numFmtId="0" fontId="10" fillId="0" borderId="9" applyAlignment="1" pivotButton="0" quotePrefix="0" xfId="3">
      <alignment horizontal="center" vertical="center" wrapText="1"/>
    </xf>
    <xf numFmtId="0" fontId="10" fillId="0" borderId="11" applyAlignment="1" pivotButton="0" quotePrefix="0" xfId="3">
      <alignment horizontal="center" vertical="center" wrapText="1"/>
    </xf>
    <xf numFmtId="0" fontId="10" fillId="0" borderId="12" applyAlignment="1" pivotButton="0" quotePrefix="0" xfId="3">
      <alignment horizontal="center" vertical="center" wrapText="1"/>
    </xf>
    <xf numFmtId="0" fontId="10" fillId="0" borderId="13" applyAlignment="1" pivotButton="0" quotePrefix="0" xfId="3">
      <alignment horizontal="center" vertical="center" wrapText="1"/>
    </xf>
    <xf numFmtId="0" fontId="10" fillId="12" borderId="2" applyAlignment="1" pivotButton="0" quotePrefix="0" xfId="3">
      <alignment horizontal="center" vertical="center"/>
    </xf>
    <xf numFmtId="0" fontId="10" fillId="12" borderId="30" applyAlignment="1" pivotButton="0" quotePrefix="0" xfId="3">
      <alignment horizontal="center" vertical="center"/>
    </xf>
    <xf numFmtId="0" fontId="10" fillId="12" borderId="1" applyAlignment="1" pivotButton="0" quotePrefix="0" xfId="3">
      <alignment horizontal="center" vertical="center"/>
    </xf>
    <xf numFmtId="0" fontId="10" fillId="0" borderId="31" applyAlignment="1" pivotButton="0" quotePrefix="0" xfId="3">
      <alignment horizontal="center" vertical="center"/>
    </xf>
    <xf numFmtId="0" fontId="10" fillId="0" borderId="33" applyAlignment="1" pivotButton="0" quotePrefix="0" xfId="3">
      <alignment horizontal="center" vertical="center"/>
    </xf>
    <xf numFmtId="0" fontId="10" fillId="0" borderId="35" applyAlignment="1" pivotButton="0" quotePrefix="0" xfId="3">
      <alignment horizontal="center" vertical="center"/>
    </xf>
    <xf numFmtId="0" fontId="44" fillId="0" borderId="51" applyAlignment="1" pivotButton="0" quotePrefix="0" xfId="3">
      <alignment horizontal="center"/>
    </xf>
    <xf numFmtId="0" fontId="31" fillId="2" borderId="16" applyAlignment="1" pivotButton="0" quotePrefix="0" xfId="3">
      <alignment horizontal="center" vertical="center"/>
    </xf>
    <xf numFmtId="0" fontId="31" fillId="2" borderId="15" applyAlignment="1" pivotButton="0" quotePrefix="0" xfId="3">
      <alignment horizontal="center" vertical="center"/>
    </xf>
    <xf numFmtId="0" fontId="31" fillId="2" borderId="23" applyAlignment="1" pivotButton="0" quotePrefix="0" xfId="3">
      <alignment horizontal="center" vertical="center"/>
    </xf>
    <xf numFmtId="0" fontId="31" fillId="2" borderId="50" applyAlignment="1" pivotButton="0" quotePrefix="0" xfId="3">
      <alignment horizontal="center" vertical="center"/>
    </xf>
    <xf numFmtId="0" fontId="31" fillId="2" borderId="53" applyAlignment="1" pivotButton="0" quotePrefix="0" xfId="3">
      <alignment horizontal="center" vertical="center"/>
    </xf>
    <xf numFmtId="0" fontId="31" fillId="2" borderId="52" applyAlignment="1" pivotButton="0" quotePrefix="0" xfId="3">
      <alignment horizontal="center" vertical="center"/>
    </xf>
    <xf numFmtId="0" fontId="10" fillId="0" borderId="31" applyAlignment="1" pivotButton="0" quotePrefix="0" xfId="3">
      <alignment vertical="top" wrapText="1"/>
    </xf>
    <xf numFmtId="0" fontId="30" fillId="0" borderId="5" applyAlignment="1" pivotButton="0" quotePrefix="0" xfId="3">
      <alignment vertical="top" wrapText="1"/>
    </xf>
    <xf numFmtId="0" fontId="30" fillId="0" borderId="32" applyAlignment="1" pivotButton="0" quotePrefix="0" xfId="3">
      <alignment vertical="top" wrapText="1"/>
    </xf>
    <xf numFmtId="0" fontId="30" fillId="0" borderId="33" applyAlignment="1" pivotButton="0" quotePrefix="0" xfId="3">
      <alignment vertical="top" wrapText="1"/>
    </xf>
    <xf numFmtId="0" fontId="30" fillId="0" borderId="0" applyAlignment="1" pivotButton="0" quotePrefix="0" xfId="3">
      <alignment vertical="top" wrapText="1"/>
    </xf>
    <xf numFmtId="0" fontId="30" fillId="0" borderId="34" applyAlignment="1" pivotButton="0" quotePrefix="0" xfId="3">
      <alignment vertical="top" wrapText="1"/>
    </xf>
    <xf numFmtId="0" fontId="30" fillId="0" borderId="35" applyAlignment="1" pivotButton="0" quotePrefix="0" xfId="3">
      <alignment vertical="top" wrapText="1"/>
    </xf>
    <xf numFmtId="0" fontId="30" fillId="0" borderId="12" applyAlignment="1" pivotButton="0" quotePrefix="0" xfId="3">
      <alignment vertical="top" wrapText="1"/>
    </xf>
    <xf numFmtId="0" fontId="30" fillId="0" borderId="36" applyAlignment="1" pivotButton="0" quotePrefix="0" xfId="3">
      <alignment vertical="top" wrapText="1"/>
    </xf>
    <xf numFmtId="0" fontId="30" fillId="0" borderId="5" applyAlignment="1" pivotButton="0" quotePrefix="0" xfId="3">
      <alignment vertical="top"/>
    </xf>
    <xf numFmtId="0" fontId="30" fillId="0" borderId="32" applyAlignment="1" pivotButton="0" quotePrefix="0" xfId="3">
      <alignment vertical="top"/>
    </xf>
    <xf numFmtId="0" fontId="30" fillId="0" borderId="33" applyAlignment="1" pivotButton="0" quotePrefix="0" xfId="3">
      <alignment vertical="top"/>
    </xf>
    <xf numFmtId="0" fontId="30" fillId="0" borderId="0" applyAlignment="1" pivotButton="0" quotePrefix="0" xfId="3">
      <alignment vertical="top"/>
    </xf>
    <xf numFmtId="0" fontId="30" fillId="0" borderId="34" applyAlignment="1" pivotButton="0" quotePrefix="0" xfId="3">
      <alignment vertical="top"/>
    </xf>
    <xf numFmtId="0" fontId="30" fillId="0" borderId="44" applyAlignment="1" pivotButton="0" quotePrefix="0" xfId="3">
      <alignment vertical="top"/>
    </xf>
    <xf numFmtId="0" fontId="30" fillId="0" borderId="45" applyAlignment="1" pivotButton="0" quotePrefix="0" xfId="3">
      <alignment vertical="top"/>
    </xf>
    <xf numFmtId="0" fontId="30" fillId="0" borderId="46" applyAlignment="1" pivotButton="0" quotePrefix="0" xfId="3">
      <alignment vertical="top"/>
    </xf>
    <xf numFmtId="0" fontId="10" fillId="12" borderId="4" applyAlignment="1" pivotButton="0" quotePrefix="0" xfId="3">
      <alignment horizontal="center" vertical="center" wrapText="1"/>
    </xf>
    <xf numFmtId="0" fontId="10" fillId="12" borderId="5" applyAlignment="1" pivotButton="0" quotePrefix="0" xfId="3">
      <alignment horizontal="center" vertical="center" wrapText="1"/>
    </xf>
    <xf numFmtId="0" fontId="10" fillId="12" borderId="32" applyAlignment="1" pivotButton="0" quotePrefix="0" xfId="3">
      <alignment horizontal="center" vertical="center" wrapText="1"/>
    </xf>
    <xf numFmtId="0" fontId="10" fillId="12" borderId="8" applyAlignment="1" pivotButton="0" quotePrefix="0" xfId="3">
      <alignment horizontal="center" vertical="center" wrapText="1"/>
    </xf>
    <xf numFmtId="0" fontId="10" fillId="12" borderId="0" applyAlignment="1" pivotButton="0" quotePrefix="0" xfId="3">
      <alignment horizontal="center" vertical="center" wrapText="1"/>
    </xf>
    <xf numFmtId="0" fontId="10" fillId="12" borderId="34" applyAlignment="1" pivotButton="0" quotePrefix="0" xfId="3">
      <alignment horizontal="center" vertical="center" wrapText="1"/>
    </xf>
    <xf numFmtId="0" fontId="10" fillId="12" borderId="11" applyAlignment="1" pivotButton="0" quotePrefix="0" xfId="3">
      <alignment horizontal="center" vertical="center" wrapText="1"/>
    </xf>
    <xf numFmtId="0" fontId="10" fillId="12" borderId="12" applyAlignment="1" pivotButton="0" quotePrefix="0" xfId="3">
      <alignment horizontal="center" vertical="center" wrapText="1"/>
    </xf>
    <xf numFmtId="0" fontId="10" fillId="12" borderId="36" applyAlignment="1" pivotButton="0" quotePrefix="0" xfId="3">
      <alignment horizontal="center" vertical="center" wrapText="1"/>
    </xf>
    <xf numFmtId="0" fontId="10" fillId="0" borderId="42" applyAlignment="1" pivotButton="0" quotePrefix="0" xfId="3">
      <alignment horizontal="left" vertical="top"/>
    </xf>
    <xf numFmtId="0" fontId="10" fillId="0" borderId="43" applyAlignment="1" pivotButton="0" quotePrefix="0" xfId="3">
      <alignment horizontal="left" vertical="top"/>
    </xf>
    <xf numFmtId="0" fontId="31" fillId="2" borderId="1" applyAlignment="1" pivotButton="0" quotePrefix="0" xfId="3">
      <alignment horizontal="center" vertical="center"/>
    </xf>
    <xf numFmtId="0" fontId="22" fillId="8" borderId="1" applyAlignment="1" pivotButton="0" quotePrefix="0" xfId="2">
      <alignment horizontal="left" vertical="center" wrapText="1"/>
    </xf>
    <xf numFmtId="0" fontId="22" fillId="8" borderId="2" applyAlignment="1" pivotButton="0" quotePrefix="0" xfId="2">
      <alignment horizontal="left" vertical="center" wrapText="1"/>
    </xf>
    <xf numFmtId="0" fontId="22" fillId="8" borderId="3" applyAlignment="1" pivotButton="0" quotePrefix="0" xfId="2">
      <alignment horizontal="left" vertical="center" wrapText="1"/>
    </xf>
    <xf numFmtId="0" fontId="22" fillId="0" borderId="4" applyAlignment="1" pivotButton="0" quotePrefix="0" xfId="2">
      <alignment horizontal="left" vertical="center" wrapText="1"/>
    </xf>
    <xf numFmtId="0" fontId="22" fillId="0" borderId="5" applyAlignment="1" pivotButton="0" quotePrefix="0" xfId="2">
      <alignment horizontal="left" vertical="center" wrapText="1"/>
    </xf>
    <xf numFmtId="0" fontId="22" fillId="0" borderId="6" applyAlignment="1" pivotButton="0" quotePrefix="0" xfId="2">
      <alignment horizontal="left" vertical="center" wrapText="1"/>
    </xf>
    <xf numFmtId="0" fontId="22" fillId="0" borderId="11" applyAlignment="1" pivotButton="0" quotePrefix="0" xfId="2">
      <alignment horizontal="left" vertical="center" wrapText="1"/>
    </xf>
    <xf numFmtId="0" fontId="22" fillId="0" borderId="12" applyAlignment="1" pivotButton="0" quotePrefix="0" xfId="2">
      <alignment horizontal="left" vertical="center" wrapText="1"/>
    </xf>
    <xf numFmtId="0" fontId="22" fillId="0" borderId="13" applyAlignment="1" pivotButton="0" quotePrefix="0" xfId="2">
      <alignment horizontal="left" vertical="center" wrapText="1"/>
    </xf>
    <xf numFmtId="0" fontId="18" fillId="0" borderId="4" applyAlignment="1" pivotButton="0" quotePrefix="1" xfId="2">
      <alignment vertical="center" wrapText="1"/>
    </xf>
    <xf numFmtId="0" fontId="18" fillId="0" borderId="5" applyAlignment="1" pivotButton="0" quotePrefix="0" xfId="2">
      <alignment vertical="center"/>
    </xf>
    <xf numFmtId="0" fontId="18" fillId="0" borderId="8" applyAlignment="1" pivotButton="0" quotePrefix="0" xfId="2">
      <alignment vertical="center"/>
    </xf>
    <xf numFmtId="0" fontId="18" fillId="0" borderId="0" applyAlignment="1" pivotButton="0" quotePrefix="0" xfId="2">
      <alignment vertical="center"/>
    </xf>
    <xf numFmtId="0" fontId="18" fillId="0" borderId="11" applyAlignment="1" pivotButton="0" quotePrefix="0" xfId="2">
      <alignment vertical="center"/>
    </xf>
    <xf numFmtId="0" fontId="18" fillId="0" borderId="12" applyAlignment="1" pivotButton="0" quotePrefix="0" xfId="2">
      <alignment vertical="center"/>
    </xf>
    <xf numFmtId="0" fontId="22" fillId="6" borderId="0" applyAlignment="1" pivotButton="0" quotePrefix="0" xfId="2">
      <alignment vertical="center" wrapText="1"/>
    </xf>
    <xf numFmtId="0" fontId="26" fillId="0" borderId="0" applyAlignment="1" pivotButton="0" quotePrefix="0" xfId="2">
      <alignment horizontal="left" vertical="center"/>
    </xf>
    <xf numFmtId="0" fontId="18" fillId="8" borderId="17" applyAlignment="1" pivotButton="0" quotePrefix="0" xfId="2">
      <alignment horizontal="left" vertical="center"/>
    </xf>
    <xf numFmtId="0" fontId="9" fillId="7" borderId="19" applyAlignment="1" pivotButton="0" quotePrefix="0" xfId="2">
      <alignment horizontal="center" vertical="center"/>
    </xf>
    <xf numFmtId="0" fontId="9" fillId="7" borderId="7" applyAlignment="1" pivotButton="0" quotePrefix="0" xfId="2">
      <alignment horizontal="center" vertical="center"/>
    </xf>
    <xf numFmtId="0" fontId="9" fillId="7" borderId="10" applyAlignment="1" pivotButton="0" quotePrefix="0" xfId="2">
      <alignment horizontal="center" vertical="center"/>
    </xf>
    <xf numFmtId="0" fontId="22" fillId="0" borderId="17" applyAlignment="1" pivotButton="0" quotePrefix="0" xfId="2">
      <alignment horizontal="left" vertical="center" wrapText="1"/>
    </xf>
    <xf numFmtId="0" fontId="22" fillId="8" borderId="17" applyAlignment="1" pivotButton="0" quotePrefix="0" xfId="2">
      <alignment horizontal="left" vertical="center" wrapText="1"/>
    </xf>
    <xf numFmtId="0" fontId="19" fillId="0" borderId="1" applyAlignment="1" pivotButton="0" quotePrefix="0" xfId="2">
      <alignment horizontal="center" vertical="center" wrapText="1"/>
    </xf>
    <xf numFmtId="0" fontId="19" fillId="0" borderId="3" applyAlignment="1" pivotButton="0" quotePrefix="0" xfId="2">
      <alignment horizontal="center" vertical="center"/>
    </xf>
    <xf numFmtId="0" fontId="19" fillId="0" borderId="4" applyAlignment="1" pivotButton="0" quotePrefix="0" xfId="2">
      <alignment horizontal="center" vertical="center" wrapText="1"/>
    </xf>
    <xf numFmtId="0" fontId="19" fillId="0" borderId="6" applyAlignment="1" pivotButton="0" quotePrefix="0" xfId="2">
      <alignment horizontal="center" vertical="center"/>
    </xf>
    <xf numFmtId="0" fontId="19" fillId="0" borderId="11" applyAlignment="1" pivotButton="0" quotePrefix="0" xfId="2">
      <alignment horizontal="center" vertical="center"/>
    </xf>
    <xf numFmtId="0" fontId="19" fillId="0" borderId="13" applyAlignment="1" pivotButton="0" quotePrefix="0" xfId="2">
      <alignment horizontal="center" vertical="center"/>
    </xf>
    <xf numFmtId="0" fontId="19" fillId="0" borderId="17" applyAlignment="1" pivotButton="0" quotePrefix="0" xfId="2">
      <alignment horizontal="center" vertical="center" wrapText="1"/>
    </xf>
    <xf numFmtId="0" fontId="19" fillId="0" borderId="17" applyAlignment="1" pivotButton="0" quotePrefix="0" xfId="2">
      <alignment horizontal="center" vertical="center"/>
    </xf>
    <xf numFmtId="0" fontId="19" fillId="0" borderId="6" applyAlignment="1" pivotButton="0" quotePrefix="0" xfId="2">
      <alignment horizontal="center" vertical="center" wrapText="1"/>
    </xf>
    <xf numFmtId="0" fontId="19" fillId="0" borderId="11" applyAlignment="1" pivotButton="0" quotePrefix="0" xfId="2">
      <alignment horizontal="center" vertical="center" wrapText="1"/>
    </xf>
    <xf numFmtId="0" fontId="19" fillId="0" borderId="13" applyAlignment="1" pivotButton="0" quotePrefix="0" xfId="2">
      <alignment horizontal="center" vertical="center" wrapText="1"/>
    </xf>
    <xf numFmtId="0" fontId="0" fillId="0" borderId="0" pivotButton="0" quotePrefix="0" xfId="0"/>
    <xf numFmtId="0" fontId="0" fillId="0" borderId="51" pivotButton="0" quotePrefix="0" xfId="0"/>
    <xf numFmtId="0" fontId="0" fillId="0" borderId="3" pivotButton="0" quotePrefix="0" xfId="0"/>
    <xf numFmtId="0" fontId="0" fillId="0" borderId="69" pivotButton="0" quotePrefix="0" xfId="0"/>
    <xf numFmtId="0" fontId="0" fillId="0" borderId="13" pivotButton="0" quotePrefix="0" xfId="0"/>
    <xf numFmtId="0" fontId="0" fillId="0" borderId="65" pivotButton="0" quotePrefix="0" xfId="0"/>
    <xf numFmtId="0" fontId="0" fillId="0" borderId="66" pivotButton="0" quotePrefix="0" xfId="0"/>
    <xf numFmtId="0" fontId="0" fillId="0" borderId="55" pivotButton="0" quotePrefix="0" xfId="0"/>
    <xf numFmtId="0" fontId="0" fillId="0" borderId="11" pivotButton="0" quotePrefix="0" xfId="0"/>
    <xf numFmtId="0" fontId="0" fillId="0" borderId="57" pivotButton="0" quotePrefix="0" xfId="0"/>
    <xf numFmtId="0" fontId="0" fillId="0" borderId="18" pivotButton="0" quotePrefix="0" xfId="0"/>
    <xf numFmtId="0" fontId="0" fillId="0" borderId="6" pivotButton="0" quotePrefix="0" xfId="0"/>
    <xf numFmtId="0" fontId="0" fillId="0" borderId="8" pivotButton="0" quotePrefix="0" xfId="0"/>
    <xf numFmtId="0" fontId="0" fillId="0" borderId="9" pivotButton="0" quotePrefix="0" xfId="0"/>
    <xf numFmtId="0" fontId="10" fillId="0" borderId="58" applyAlignment="1" pivotButton="0" quotePrefix="0" xfId="3">
      <alignment vertical="top" wrapText="1"/>
    </xf>
    <xf numFmtId="0" fontId="0" fillId="0" borderId="5" pivotButton="0" quotePrefix="0" xfId="0"/>
    <xf numFmtId="0" fontId="0" fillId="0" borderId="32" pivotButton="0" quotePrefix="0" xfId="0"/>
    <xf numFmtId="0" fontId="0" fillId="0" borderId="33" pivotButton="0" quotePrefix="0" xfId="0"/>
    <xf numFmtId="0" fontId="0" fillId="0" borderId="34" pivotButton="0" quotePrefix="0" xfId="0"/>
    <xf numFmtId="0" fontId="0" fillId="0" borderId="35" pivotButton="0" quotePrefix="0" xfId="0"/>
    <xf numFmtId="0" fontId="0" fillId="0" borderId="12" pivotButton="0" quotePrefix="0" xfId="0"/>
    <xf numFmtId="0" fontId="0" fillId="0" borderId="36" pivotButton="0" quotePrefix="0" xfId="0"/>
    <xf numFmtId="0" fontId="0" fillId="0" borderId="2" pivotButton="0" quotePrefix="0" xfId="0"/>
    <xf numFmtId="0" fontId="10" fillId="0" borderId="59" applyAlignment="1" pivotButton="0" quotePrefix="0" xfId="3">
      <alignment vertical="top" wrapText="1"/>
    </xf>
    <xf numFmtId="0" fontId="0" fillId="0" borderId="44" pivotButton="0" quotePrefix="0" xfId="0"/>
    <xf numFmtId="0" fontId="0" fillId="0" borderId="45" pivotButton="0" quotePrefix="0" xfId="0"/>
    <xf numFmtId="0" fontId="0" fillId="0" borderId="46" pivotButton="0" quotePrefix="0" xfId="0"/>
    <xf numFmtId="0" fontId="11" fillId="9" borderId="37" applyAlignment="1" pivotButton="0" quotePrefix="0" xfId="3">
      <alignment horizontal="center" vertical="center"/>
    </xf>
    <xf numFmtId="0" fontId="11" fillId="9" borderId="17" applyAlignment="1" pivotButton="0" quotePrefix="0" xfId="3">
      <alignment horizontal="center" vertical="center"/>
    </xf>
    <xf numFmtId="0" fontId="11" fillId="9" borderId="38" applyAlignment="1" pivotButton="0" quotePrefix="0" xfId="3">
      <alignment horizontal="center" vertical="center"/>
    </xf>
    <xf numFmtId="0" fontId="0" fillId="0" borderId="30" pivotButton="0" quotePrefix="0" xfId="0"/>
    <xf numFmtId="0" fontId="10" fillId="0" borderId="37" applyAlignment="1" pivotButton="0" quotePrefix="0" xfId="3">
      <alignment horizontal="center" vertical="center"/>
    </xf>
    <xf numFmtId="0" fontId="10" fillId="0" borderId="17" applyAlignment="1" pivotButton="0" quotePrefix="0" xfId="3">
      <alignment horizontal="center" vertical="center"/>
    </xf>
    <xf numFmtId="0" fontId="10" fillId="0" borderId="17" applyAlignment="1" pivotButton="0" quotePrefix="0" xfId="3">
      <alignment horizontal="center" vertical="center" wrapText="1"/>
    </xf>
    <xf numFmtId="0" fontId="10" fillId="12" borderId="38" applyAlignment="1" pivotButton="0" quotePrefix="0" xfId="3">
      <alignment horizontal="center" vertical="center" wrapText="1"/>
    </xf>
    <xf numFmtId="0" fontId="10" fillId="12" borderId="38" applyAlignment="1" pivotButton="0" quotePrefix="0" xfId="3">
      <alignment horizontal="center" vertical="center"/>
    </xf>
    <xf numFmtId="0" fontId="39" fillId="0" borderId="62" applyAlignment="1" pivotButton="0" quotePrefix="0" xfId="3">
      <alignment horizontal="center" vertical="center"/>
    </xf>
    <xf numFmtId="0" fontId="0" fillId="0" borderId="40" pivotButton="0" quotePrefix="0" xfId="0"/>
    <xf numFmtId="0" fontId="33" fillId="0" borderId="60" applyAlignment="1" pivotButton="0" quotePrefix="0" xfId="3">
      <alignment horizontal="left" vertical="center" wrapText="1"/>
    </xf>
    <xf numFmtId="0" fontId="0" fillId="0" borderId="42" pivotButton="0" quotePrefix="0" xfId="0"/>
    <xf numFmtId="0" fontId="10" fillId="0" borderId="61" applyAlignment="1" pivotButton="0" quotePrefix="0" xfId="3">
      <alignment horizontal="left" vertical="top" wrapText="1"/>
    </xf>
    <xf numFmtId="0" fontId="0" fillId="0" borderId="43" pivotButton="0" quotePrefix="0" xfId="0"/>
    <xf numFmtId="0" fontId="0" fillId="0" borderId="7" pivotButton="0" quotePrefix="0" xfId="0"/>
    <xf numFmtId="0" fontId="0" fillId="0" borderId="10" pivotButton="0" quotePrefix="0" xfId="0"/>
    <xf numFmtId="0" fontId="18" fillId="0" borderId="1" applyAlignment="1" pivotButton="0" quotePrefix="1" xfId="2">
      <alignment vertical="center" wrapText="1"/>
    </xf>
  </cellXfs>
  <cellStyles count="5">
    <cellStyle name="표준" xfId="0" builtinId="0"/>
    <cellStyle name="표준 2" xfId="1"/>
    <cellStyle name="표준 2 2" xfId="2"/>
    <cellStyle name="표준 2 3" xfId="3"/>
    <cellStyle name="표준 4" xfId="4"/>
  </cellStyles>
  <dxfs count="2">
    <dxf>
      <font>
        <b val="1"/>
        <color rgb="FF002060"/>
      </font>
      <fill>
        <patternFill>
          <bgColor theme="8" tint="0.7999816888943144"/>
        </patternFill>
      </fill>
    </dxf>
    <dxf>
      <font>
        <b val="1"/>
        <color theme="1"/>
      </font>
      <fill>
        <patternFill>
          <bgColor rgb="FFADA9A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tc={6D99B511-05F3-4A00-A268-B512A548839E}</author>
    <author>tc={C991AF62-7C67-4C88-9A41-DEB6B4905453}</author>
    <author>tc={EF8A63B6-4613-4FE3-BE00-988F7C62F773}</author>
  </authors>
  <commentList>
    <comment ref="H3" authorId="0" shapeId="0">
      <text>
        <t>[스레드 댓글]
사용 중인 버전의 Excel에서 이 스레드 댓글을 읽을 수 있지만 파일을 이후 버전의 Excel에서 열면 편집 내용이 모두 제거됩니다. 자세한 정보: https://go.microsoft.com/fwlink/?linkid=870924.
댓글:
    (수기 작성 X) 
인터뷰 결과값 자동 반영됨</t>
      </text>
    </comment>
    <comment ref="B50" authorId="1" shapeId="0">
      <text>
        <t>[스레드 댓글]
사용 중인 버전의 Excel에서 이 스레드 댓글을 읽을 수 있지만 파일을 이후 버전의 Excel에서 열면 편집 내용이 모두 제거됩니다. 자세한 정보: https://go.microsoft.com/fwlink/?linkid=870924.
댓글:
    결과 선택</t>
      </text>
    </comment>
    <comment ref="B71" authorId="2" shapeId="0">
      <text>
        <t>[스레드 댓글]
사용 중인 버전의 Excel에서 이 스레드 댓글을 읽을 수 있지만 파일을 이후 버전의 Excel에서 열면 편집 내용이 모두 제거됩니다. 자세한 정보: https://go.microsoft.com/fwlink/?linkid=870924.
댓글:
    결과 선택</t>
      </text>
    </comment>
  </commentList>
</comment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0070C0"/>
    <outlinePr summaryBelow="1" summaryRight="1"/>
    <pageSetUpPr/>
  </sheetPr>
  <dimension ref="A1:W113"/>
  <sheetViews>
    <sheetView showGridLines="0" tabSelected="1" zoomScale="85" zoomScaleNormal="85" workbookViewId="0">
      <selection activeCell="G71" sqref="G71:L71"/>
    </sheetView>
  </sheetViews>
  <sheetFormatPr baseColWidth="8" defaultColWidth="10" defaultRowHeight="18" customHeight="1"/>
  <cols>
    <col width="1.28515625" customWidth="1" style="58" min="1" max="1"/>
    <col width="17.5703125" customWidth="1" style="58" min="2" max="12"/>
    <col width="5" customWidth="1" style="58" min="13" max="13"/>
    <col width="10" customWidth="1" style="58" min="14" max="16384"/>
  </cols>
  <sheetData>
    <row r="1" ht="30" customHeight="1" s="277">
      <c r="B1" s="55" t="inlineStr">
        <is>
          <t>[1차] 역량인터뷰 가이드 및 평가표</t>
        </is>
      </c>
      <c r="C1" s="56" t="n"/>
      <c r="D1" s="56" t="n"/>
      <c r="E1" s="56" t="n"/>
      <c r="F1" s="56" t="n"/>
      <c r="G1" s="56" t="n"/>
      <c r="H1" s="56" t="n"/>
      <c r="I1" s="56" t="n"/>
      <c r="J1" s="56" t="n"/>
      <c r="K1" s="56" t="n"/>
      <c r="L1" s="57" t="n"/>
    </row>
    <row r="2" ht="18" customHeight="1" s="277" thickBot="1">
      <c r="B2" s="59" t="n"/>
      <c r="C2" s="59" t="n"/>
      <c r="D2" s="59" t="n"/>
      <c r="E2" s="59" t="n"/>
      <c r="F2" s="59" t="n"/>
      <c r="G2" s="59" t="n"/>
      <c r="H2" s="207" t="inlineStr">
        <is>
          <t>결과 값 자동 반영됨(수기작성 X)</t>
        </is>
      </c>
      <c r="I2" s="278" t="n"/>
      <c r="J2" s="59" t="n"/>
      <c r="K2" s="59" t="n"/>
      <c r="L2" s="59" t="n"/>
    </row>
    <row r="3" ht="30" customHeight="1" s="277" thickBot="1" thickTop="1">
      <c r="B3" s="170" t="inlineStr">
        <is>
          <t>인터뷰 날짜</t>
        </is>
      </c>
      <c r="C3" s="279" t="n"/>
      <c r="D3" s="168" t="n">
        <v>46232</v>
      </c>
      <c r="E3" s="279" t="n"/>
      <c r="F3" s="171" t="inlineStr">
        <is>
          <t>결과</t>
        </is>
      </c>
      <c r="G3" s="280" t="n"/>
      <c r="H3" s="149">
        <f>VLOOKUP(B50&amp;B71,참조시트!$E$3:$K$11,7,0)</f>
        <v/>
      </c>
      <c r="I3" s="280" t="n"/>
      <c r="J3" s="73" t="n"/>
      <c r="K3" s="69" t="n"/>
      <c r="L3" s="69" t="n"/>
    </row>
    <row r="4" ht="30" customHeight="1" s="277" thickTop="1">
      <c r="B4" s="153" t="inlineStr">
        <is>
          <t>채용본부</t>
        </is>
      </c>
      <c r="C4" s="279" t="n"/>
      <c r="D4" s="158" t="inlineStr">
        <is>
          <t>전략기획실</t>
        </is>
      </c>
      <c r="E4" s="279" t="n"/>
      <c r="F4" s="151" t="inlineStr">
        <is>
          <t>포지션명</t>
        </is>
      </c>
      <c r="G4" s="281" t="n"/>
      <c r="H4" s="152" t="inlineStr">
        <is>
          <t>IPO 및 전략재무 담당</t>
        </is>
      </c>
      <c r="I4" s="281" t="n"/>
      <c r="J4" s="153" t="inlineStr">
        <is>
          <t>후보자명</t>
        </is>
      </c>
      <c r="K4" s="173" t="inlineStr">
        <is>
          <t>김중환</t>
        </is>
      </c>
      <c r="L4" s="279" t="n"/>
    </row>
    <row r="5" ht="30" customHeight="1" s="277">
      <c r="B5" s="153" t="inlineStr">
        <is>
          <t>계약형태</t>
        </is>
      </c>
      <c r="C5" s="279" t="n"/>
      <c r="D5" s="158" t="inlineStr">
        <is>
          <t>정규직</t>
        </is>
      </c>
      <c r="E5" s="279" t="n"/>
      <c r="F5" s="153" t="inlineStr">
        <is>
          <t>채용예정 직급 or 직책</t>
        </is>
      </c>
      <c r="G5" s="279" t="n"/>
      <c r="H5" s="158" t="n"/>
      <c r="I5" s="279" t="n"/>
      <c r="J5" s="153" t="inlineStr">
        <is>
          <t>면접관명</t>
        </is>
      </c>
      <c r="K5" s="173" t="inlineStr">
        <is>
          <t>이영한</t>
        </is>
      </c>
      <c r="L5" s="279" t="n"/>
    </row>
    <row r="6" ht="18" customHeight="1" s="277" thickBot="1">
      <c r="B6" s="59" t="n"/>
      <c r="C6" s="59" t="n"/>
      <c r="D6" s="59" t="n"/>
      <c r="E6" s="59" t="n"/>
      <c r="F6" s="59" t="n"/>
      <c r="G6" s="59" t="n"/>
      <c r="H6" s="59" t="n"/>
      <c r="I6" s="59" t="n"/>
      <c r="J6" s="59" t="n"/>
      <c r="K6" s="59" t="n"/>
      <c r="L6" s="59" t="n"/>
    </row>
    <row r="7" ht="18" customHeight="1" s="277">
      <c r="B7" s="177" t="inlineStr">
        <is>
          <t>채용 후 담당업무</t>
        </is>
      </c>
      <c r="C7" s="282" t="n"/>
      <c r="D7" s="282" t="n"/>
      <c r="E7" s="282" t="n"/>
      <c r="F7" s="282" t="n"/>
      <c r="G7" s="282" t="n"/>
      <c r="H7" s="282" t="n"/>
      <c r="I7" s="282" t="n"/>
      <c r="J7" s="282" t="n"/>
      <c r="K7" s="282" t="n"/>
      <c r="L7" s="283" t="n"/>
      <c r="N7" s="157" t="inlineStr">
        <is>
          <t>역량</t>
        </is>
      </c>
      <c r="O7" s="284" t="n"/>
      <c r="P7" s="209" t="inlineStr">
        <is>
          <t>Fit</t>
        </is>
      </c>
      <c r="Q7" s="284" t="n"/>
      <c r="R7" s="209" t="inlineStr">
        <is>
          <t>인터뷰 결과</t>
        </is>
      </c>
      <c r="S7" s="284" t="n"/>
    </row>
    <row r="8" ht="18" customHeight="1" s="277">
      <c r="B8" s="89" t="inlineStr">
        <is>
          <t>{샘플) 1. 채용의 전반적인 프로세스의 이해와 운영이 가능해야하며, 우수한 인재를 뽑기위한 기획 또는 채용 프로세스상 개선사항 도출 및 개선을 담당</t>
        </is>
      </c>
      <c r="C8" s="83" t="n"/>
      <c r="D8" s="83" t="n"/>
      <c r="E8" s="83" t="n"/>
      <c r="F8" s="83" t="n"/>
      <c r="G8" s="83" t="n"/>
      <c r="H8" s="83" t="n"/>
      <c r="I8" s="83" t="n"/>
      <c r="J8" s="83" t="n"/>
      <c r="K8" s="83" t="n"/>
      <c r="L8" s="84" t="n"/>
      <c r="N8" s="285" t="n"/>
      <c r="O8" s="286" t="n"/>
      <c r="P8" s="287" t="n"/>
      <c r="Q8" s="286" t="n"/>
      <c r="R8" s="287" t="n"/>
      <c r="S8" s="286" t="n"/>
    </row>
    <row r="9" ht="18" customHeight="1" s="277">
      <c r="B9" s="90" t="inlineStr">
        <is>
          <t>(샘플) 2. 산업안전보건관리 체계를 이해하고 내부에 구축할 수 있는 단계적 전략이나 운영 관련 업무를 담당</t>
        </is>
      </c>
      <c r="C9" s="85" t="n"/>
      <c r="D9" s="85" t="n"/>
      <c r="E9" s="85" t="n"/>
      <c r="F9" s="85" t="n"/>
      <c r="G9" s="85" t="n"/>
      <c r="H9" s="85" t="n"/>
      <c r="I9" s="85" t="n"/>
      <c r="J9" s="85" t="n"/>
      <c r="K9" s="85" t="n"/>
      <c r="L9" s="86" t="n"/>
      <c r="N9" s="154" t="inlineStr">
        <is>
          <t>PASS</t>
        </is>
      </c>
      <c r="O9" s="288" t="n"/>
      <c r="P9" s="154" t="inlineStr">
        <is>
          <t>PASS</t>
        </is>
      </c>
      <c r="Q9" s="279" t="n"/>
      <c r="R9" s="161" t="inlineStr">
        <is>
          <t>PASS</t>
        </is>
      </c>
      <c r="S9" s="279" t="n"/>
    </row>
    <row r="10" ht="18" customHeight="1" s="277">
      <c r="B10" s="90" t="inlineStr">
        <is>
          <t>(샘플) 3. 직원들과의 관계 형성을 통한 개인적/조직적 이슈를 객관적으로 파악할 수 있고, 이를 공유하여 해결해가는 업무를 담당</t>
        </is>
      </c>
      <c r="C10" s="85" t="n"/>
      <c r="D10" s="85" t="n"/>
      <c r="E10" s="85" t="n"/>
      <c r="F10" s="85" t="n"/>
      <c r="G10" s="85" t="n"/>
      <c r="H10" s="85" t="n"/>
      <c r="I10" s="85" t="n"/>
      <c r="J10" s="85" t="n"/>
      <c r="K10" s="85" t="n"/>
      <c r="L10" s="86" t="n"/>
      <c r="N10" s="289" t="n"/>
      <c r="O10" s="290" t="n"/>
      <c r="P10" s="154" t="inlineStr">
        <is>
          <t>MEET</t>
        </is>
      </c>
      <c r="Q10" s="279" t="n"/>
      <c r="R10" s="161" t="inlineStr">
        <is>
          <t>PASS</t>
        </is>
      </c>
      <c r="S10" s="279" t="n"/>
    </row>
    <row r="11" ht="18" customHeight="1" s="277">
      <c r="B11" s="91" t="inlineStr">
        <is>
          <t>(샘플) 4. 기타 총무성 업무를 주도적으로 파악하고 개선해가는 업무</t>
        </is>
      </c>
      <c r="C11" s="87" t="n"/>
      <c r="D11" s="87" t="n"/>
      <c r="E11" s="87" t="n"/>
      <c r="F11" s="87" t="n"/>
      <c r="G11" s="87" t="n"/>
      <c r="H11" s="87" t="n"/>
      <c r="I11" s="87" t="n"/>
      <c r="J11" s="87" t="n"/>
      <c r="K11" s="87" t="n"/>
      <c r="L11" s="88" t="n"/>
      <c r="N11" s="285" t="n"/>
      <c r="O11" s="281" t="n"/>
      <c r="P11" s="154" t="inlineStr">
        <is>
          <t>DROP</t>
        </is>
      </c>
      <c r="Q11" s="279" t="n"/>
      <c r="R11" s="173" t="inlineStr">
        <is>
          <t>CHECK</t>
        </is>
      </c>
      <c r="S11" s="279" t="n"/>
    </row>
    <row r="12" ht="18" customHeight="1" s="277">
      <c r="B12" s="291" t="inlineStr">
        <is>
          <t>1. IPO 준비 및 상장 실무 총괄 지원
- IPO Readiness 정비, 예비심사 청구서 작성 및 심사 질의 대응(비재무), 주관사·회계법인·거래소 커뮤니케이션
- 상장 트랙(코스닥/NASDAQ) 검토 및 대응 전략 수립 지원
2. 전략재무 및 IR
- 투자유치(펀드레이징) 지원, 투자자 대상 IR 자료 작성 및 피칭
- 재무제표·사업 데이터 기반 경영진 의사결정 지원 리포트 작성
3. 거버넌스 및 법인 관리
- 이사회·주주총회 운영 지원, 의안 설명서 작성
- 국내외 자회사(일본·미국·중동·중국 등) 관리 및 내부거래 정비 지원</t>
        </is>
      </c>
      <c r="C12" s="292" t="n"/>
      <c r="D12" s="292" t="n"/>
      <c r="E12" s="292" t="n"/>
      <c r="F12" s="292" t="n"/>
      <c r="G12" s="292" t="n"/>
      <c r="H12" s="292" t="n"/>
      <c r="I12" s="292" t="n"/>
      <c r="J12" s="292" t="n"/>
      <c r="K12" s="292" t="n"/>
      <c r="L12" s="293" t="n"/>
      <c r="N12" s="154" t="inlineStr">
        <is>
          <t>MEET</t>
        </is>
      </c>
      <c r="O12" s="288" t="n"/>
      <c r="P12" s="154" t="inlineStr">
        <is>
          <t>PASS</t>
        </is>
      </c>
      <c r="Q12" s="279" t="n"/>
      <c r="R12" s="161" t="inlineStr">
        <is>
          <t>PASS</t>
        </is>
      </c>
      <c r="S12" s="279" t="n"/>
    </row>
    <row r="13" ht="18" customHeight="1" s="277">
      <c r="B13" s="294" t="n"/>
      <c r="L13" s="295" t="n"/>
      <c r="N13" s="289" t="n"/>
      <c r="O13" s="290" t="n"/>
      <c r="P13" s="154" t="inlineStr">
        <is>
          <t>MEET</t>
        </is>
      </c>
      <c r="Q13" s="279" t="n"/>
      <c r="R13" s="161" t="inlineStr">
        <is>
          <t>PASS</t>
        </is>
      </c>
      <c r="S13" s="279" t="n"/>
    </row>
    <row r="14" ht="18" customHeight="1" s="277">
      <c r="B14" s="294" t="n"/>
      <c r="L14" s="295" t="n"/>
      <c r="N14" s="285" t="n"/>
      <c r="O14" s="281" t="n"/>
      <c r="P14" s="154" t="inlineStr">
        <is>
          <t>DROP</t>
        </is>
      </c>
      <c r="Q14" s="279" t="n"/>
      <c r="R14" s="173" t="inlineStr">
        <is>
          <t>CHECK</t>
        </is>
      </c>
      <c r="S14" s="279" t="n"/>
    </row>
    <row r="15" ht="18" customHeight="1" s="277">
      <c r="B15" s="294" t="n"/>
      <c r="L15" s="295" t="n"/>
      <c r="N15" s="154" t="inlineStr">
        <is>
          <t>CHECK</t>
        </is>
      </c>
      <c r="O15" s="288" t="n"/>
      <c r="P15" s="154" t="inlineStr">
        <is>
          <t>PASS</t>
        </is>
      </c>
      <c r="Q15" s="279" t="n"/>
      <c r="R15" s="173" t="inlineStr">
        <is>
          <t>CHECK</t>
        </is>
      </c>
      <c r="S15" s="279" t="n"/>
    </row>
    <row r="16" ht="273.75" customHeight="1" s="277">
      <c r="B16" s="296" t="n"/>
      <c r="C16" s="297" t="n"/>
      <c r="D16" s="297" t="n"/>
      <c r="E16" s="297" t="n"/>
      <c r="F16" s="297" t="n"/>
      <c r="G16" s="297" t="n"/>
      <c r="H16" s="297" t="n"/>
      <c r="I16" s="297" t="n"/>
      <c r="J16" s="297" t="n"/>
      <c r="K16" s="297" t="n"/>
      <c r="L16" s="298" t="n"/>
      <c r="N16" s="289" t="n"/>
      <c r="O16" s="290" t="n"/>
      <c r="P16" s="154" t="inlineStr">
        <is>
          <t>MEET</t>
        </is>
      </c>
      <c r="Q16" s="279" t="n"/>
      <c r="R16" s="173" t="inlineStr">
        <is>
          <t>CHECK</t>
        </is>
      </c>
      <c r="S16" s="279" t="n"/>
    </row>
    <row r="17" ht="18" customHeight="1" s="277">
      <c r="B17" s="180" t="inlineStr">
        <is>
          <t>핵심 업무역량</t>
        </is>
      </c>
      <c r="C17" s="299" t="n"/>
      <c r="D17" s="299" t="n"/>
      <c r="E17" s="299" t="n"/>
      <c r="F17" s="299" t="n"/>
      <c r="G17" s="299" t="n"/>
      <c r="H17" s="299" t="n"/>
      <c r="I17" s="299" t="n"/>
      <c r="J17" s="299" t="n"/>
      <c r="K17" s="299" t="n"/>
      <c r="L17" s="279" t="n"/>
      <c r="N17" s="285" t="n"/>
      <c r="O17" s="281" t="n"/>
      <c r="P17" s="154" t="inlineStr">
        <is>
          <t>DROP</t>
        </is>
      </c>
      <c r="Q17" s="279" t="n"/>
      <c r="R17" s="159" t="inlineStr">
        <is>
          <t>DROP</t>
        </is>
      </c>
      <c r="S17" s="279" t="n"/>
    </row>
    <row r="18" ht="18" customHeight="1" s="277">
      <c r="B18" s="89" t="inlineStr">
        <is>
          <t>(샘플) 1. 채용의 트렌드를 파악하고 자사에 맞게 반영할 수 있는 기획과 실행력</t>
        </is>
      </c>
      <c r="C18" s="83" t="n"/>
      <c r="D18" s="83" t="n"/>
      <c r="E18" s="83" t="n"/>
      <c r="F18" s="83" t="n"/>
      <c r="G18" s="83" t="n"/>
      <c r="H18" s="83" t="n"/>
      <c r="I18" s="83" t="n"/>
      <c r="J18" s="83" t="n"/>
      <c r="K18" s="83" t="n"/>
      <c r="L18" s="84" t="n"/>
    </row>
    <row r="19" ht="18" customHeight="1" s="277">
      <c r="B19" s="90" t="inlineStr">
        <is>
          <t>(샘플) 2. 입사자에게 회사의 브랜딩을 할 수 있고, 입사후 관계형성을 통해 소프트랜딩을 이끌거나 운영할 수 있는 역량</t>
        </is>
      </c>
      <c r="C19" s="85" t="n"/>
      <c r="D19" s="85" t="n"/>
      <c r="E19" s="85" t="n"/>
      <c r="F19" s="85" t="n"/>
      <c r="G19" s="85" t="n"/>
      <c r="H19" s="85" t="n"/>
      <c r="I19" s="85" t="n"/>
      <c r="J19" s="85" t="n"/>
      <c r="K19" s="85" t="n"/>
      <c r="L19" s="86" t="n"/>
    </row>
    <row r="20" ht="18" customHeight="1" s="277">
      <c r="B20" s="90" t="inlineStr">
        <is>
          <t>(샘플) 3. 산업안전보건관리 체계의 이해 및 구축, 운영 역량</t>
        </is>
      </c>
      <c r="C20" s="85" t="n"/>
      <c r="D20" s="85" t="n"/>
      <c r="E20" s="85" t="n"/>
      <c r="F20" s="85" t="n"/>
      <c r="G20" s="85" t="n"/>
      <c r="H20" s="85" t="n"/>
      <c r="I20" s="85" t="n"/>
      <c r="J20" s="85" t="n"/>
      <c r="K20" s="85" t="n"/>
      <c r="L20" s="86" t="n"/>
    </row>
    <row r="21" ht="18" customHeight="1" s="277">
      <c r="B21" s="91" t="inlineStr">
        <is>
          <t>(샘플) 4. 시설, 근무환경 등에 관심을 가지고 개선하며 운영하는 역량</t>
        </is>
      </c>
      <c r="C21" s="87" t="n"/>
      <c r="D21" s="87" t="n"/>
      <c r="E21" s="87" t="n"/>
      <c r="F21" s="87" t="n"/>
      <c r="G21" s="87" t="n"/>
      <c r="H21" s="87" t="n"/>
      <c r="I21" s="87" t="n"/>
      <c r="J21" s="87" t="n"/>
      <c r="K21" s="87" t="n"/>
      <c r="L21" s="88" t="n"/>
    </row>
    <row r="22" ht="18" customHeight="1" s="277">
      <c r="B22" s="300" t="inlineStr">
        <is>
          <t>1. IPO 실무 역량 — 예비심사 청구서 작성, 거래소 심사 질의 대응, 주관사 카운터파트 수행 역량
2. 전략재무·IR 역량 — 투자자 커뮤니케이션, 펀드레이징 지원, 재무·사업 분석 기반 보고 역량
3. 거버넌스 실무 역량 — 이사회·주총 운영, 의안 설명서 작성 및 이해관계자 사전 설득 역량
4. 커뮤니케이션 및 협업 역량 — CFO·경영진·주관사 등 다수 이해관계자 조율
5. 영어 업무 역량 — 영문 서면 업무 및 해외 투자자 대응(NASDAQ 트랙 대비)</t>
        </is>
      </c>
      <c r="C22" s="292" t="n"/>
      <c r="D22" s="292" t="n"/>
      <c r="E22" s="292" t="n"/>
      <c r="F22" s="292" t="n"/>
      <c r="G22" s="292" t="n"/>
      <c r="H22" s="292" t="n"/>
      <c r="I22" s="292" t="n"/>
      <c r="J22" s="292" t="n"/>
      <c r="K22" s="292" t="n"/>
      <c r="L22" s="293" t="n"/>
    </row>
    <row r="23" ht="18" customHeight="1" s="277">
      <c r="B23" s="294" t="n"/>
      <c r="L23" s="295" t="n"/>
    </row>
    <row r="24" ht="18" customHeight="1" s="277">
      <c r="B24" s="294" t="n"/>
      <c r="L24" s="295" t="n"/>
    </row>
    <row r="25" ht="18" customHeight="1" s="277">
      <c r="B25" s="294" t="n"/>
      <c r="L25" s="295" t="n"/>
    </row>
    <row r="26" ht="288" customHeight="1" s="277" thickBot="1">
      <c r="B26" s="301" t="n"/>
      <c r="C26" s="302" t="n"/>
      <c r="D26" s="302" t="n"/>
      <c r="E26" s="302" t="n"/>
      <c r="F26" s="302" t="n"/>
      <c r="G26" s="302" t="n"/>
      <c r="H26" s="302" t="n"/>
      <c r="I26" s="302" t="n"/>
      <c r="J26" s="302" t="n"/>
      <c r="K26" s="302" t="n"/>
      <c r="L26" s="303" t="n"/>
    </row>
    <row r="27" ht="18" customHeight="1" s="277" thickBot="1">
      <c r="B27" s="70" t="n"/>
      <c r="C27" s="71" t="n"/>
      <c r="D27" s="71" t="n"/>
      <c r="E27" s="71" t="n"/>
      <c r="F27" s="71" t="n"/>
      <c r="G27" s="71" t="n"/>
      <c r="H27" s="71" t="n"/>
      <c r="I27" s="71" t="n"/>
      <c r="J27" s="71" t="n"/>
      <c r="K27" s="71" t="n"/>
      <c r="L27" s="71" t="n"/>
    </row>
    <row r="28" ht="17.85" customHeight="1" s="277">
      <c r="B28" s="182" t="inlineStr">
        <is>
          <t>핵심 업무역량 파악</t>
        </is>
      </c>
      <c r="C28" s="282" t="n"/>
      <c r="D28" s="282" t="n"/>
      <c r="E28" s="282" t="n"/>
      <c r="F28" s="282" t="n"/>
      <c r="G28" s="282" t="n"/>
      <c r="H28" s="282" t="n"/>
      <c r="I28" s="282" t="n"/>
      <c r="J28" s="282" t="n"/>
      <c r="K28" s="282" t="n"/>
      <c r="L28" s="283" t="n"/>
      <c r="N28" s="156" t="inlineStr">
        <is>
          <t>구분</t>
        </is>
      </c>
      <c r="O28" s="288" t="n"/>
      <c r="P28" s="162" t="inlineStr">
        <is>
          <t>핵심 업무역량 평가기준</t>
        </is>
      </c>
      <c r="Q28" s="292" t="n"/>
      <c r="R28" s="292" t="n"/>
      <c r="S28" s="292" t="n"/>
      <c r="T28" s="292" t="n"/>
      <c r="U28" s="292" t="n"/>
      <c r="V28" s="292" t="n"/>
      <c r="W28" s="288" t="n"/>
    </row>
    <row r="29" ht="18" customHeight="1" s="277">
      <c r="B29" s="304" t="inlineStr">
        <is>
          <t>핵심역량</t>
        </is>
      </c>
      <c r="C29" s="279" t="n"/>
      <c r="D29" s="305" t="inlineStr">
        <is>
          <t>질문</t>
        </is>
      </c>
      <c r="E29" s="299" t="n"/>
      <c r="F29" s="279" t="n"/>
      <c r="G29" s="305" t="inlineStr">
        <is>
          <t>답변 &amp; 판단 근거</t>
        </is>
      </c>
      <c r="H29" s="299" t="n"/>
      <c r="I29" s="279" t="n"/>
      <c r="J29" s="306" t="inlineStr">
        <is>
          <t>면접관 의견</t>
        </is>
      </c>
      <c r="K29" s="299" t="n"/>
      <c r="L29" s="307" t="n"/>
      <c r="N29" s="285" t="n"/>
      <c r="O29" s="281" t="n"/>
      <c r="P29" s="297" t="n"/>
      <c r="Q29" s="297" t="n"/>
      <c r="R29" s="297" t="n"/>
      <c r="S29" s="297" t="n"/>
      <c r="T29" s="297" t="n"/>
      <c r="U29" s="297" t="n"/>
      <c r="V29" s="297" t="n"/>
      <c r="W29" s="281" t="n"/>
    </row>
    <row r="30" ht="101.25" customHeight="1" s="277">
      <c r="B30" s="308" t="inlineStr">
        <is>
          <t>IPO 실무 역량(비재무)</t>
        </is>
      </c>
      <c r="C30" s="279" t="n"/>
      <c r="D30" s="309" t="inlineStr">
        <is>
          <t>노터스 IPO에서 직접 수행한 범위와 역할은?</t>
        </is>
      </c>
      <c r="E30" s="299" t="n"/>
      <c r="F30" s="279" t="n"/>
      <c r="G30" s="310" t="inlineStr">
        <is>
          <t>예비심사 청구서의 재무 외 전체(사업의 내용 등)를 직접 작성하고 주관사 팀장의 카운터파트로 심사 전 과정을 수행했다고 답변. 거래소 심사 질의 3건(비상근 각자대표 급여·이익 제공, 최대주주 소유 토지 임대료 적정성, 소송 상대방의 거래소 투서) 대응을 주도. 코스닥 일반 상장 트랙 완주.</t>
        </is>
      </c>
      <c r="H30" s="299" t="n"/>
      <c r="I30" s="279" t="n"/>
      <c r="J30" s="311" t="inlineStr">
        <is>
          <t>실사례의 구체성이 높아 실제 수행자로 판단됨. 상장 후 타법인 출자 타당성 문서 작성·감사 대응 경험도 확인됨.</t>
        </is>
      </c>
      <c r="K30" s="299" t="n"/>
      <c r="L30" s="307" t="n"/>
      <c r="N30" s="154" t="inlineStr">
        <is>
          <t>PASS</t>
        </is>
      </c>
      <c r="O30" s="288" t="n"/>
      <c r="P30" s="160" t="inlineStr">
        <is>
          <t>• 포지션에 대한 역량을 모두 갖추었고, 역할 확대가 가능함
• 기대수준 이상의 업무 수행력과 성과 창출이 가능하다고 판단</t>
        </is>
      </c>
      <c r="Q30" s="292" t="n"/>
      <c r="R30" s="292" t="n"/>
      <c r="S30" s="292" t="n"/>
      <c r="T30" s="292" t="n"/>
      <c r="U30" s="292" t="n"/>
      <c r="V30" s="292" t="n"/>
      <c r="W30" s="288" t="n"/>
    </row>
    <row r="31" ht="94.5" customHeight="1" s="277">
      <c r="B31" s="308" t="inlineStr">
        <is>
          <t>거버넌스·이사회 운영 역량</t>
        </is>
      </c>
      <c r="C31" s="279" t="n"/>
      <c r="D31" s="309" t="inlineStr">
        <is>
          <t>이사회·주총 등 의사결정 지원 업무 경험은?</t>
        </is>
      </c>
      <c r="E31" s="299" t="n"/>
      <c r="F31" s="279" t="n"/>
      <c r="G31" s="310" t="inlineStr">
        <is>
          <t>이스트소프트에서 매월 정기 이사회 운영을 지원하며 해외 자회사 자금대여·지분구조 변경 안건의 의안 설명서를 작성하고 사내·사외이사를 사전 설득하는 업무를 수행. 사후 보고형에서 사전 이슈 캐치·선제 준비형으로 업무 방식을 발전시켰다고 답변.</t>
        </is>
      </c>
      <c r="H31" s="299" t="n"/>
      <c r="I31" s="279" t="n"/>
      <c r="J31" s="311" t="inlineStr">
        <is>
          <t>전략기획실의 법인 관리·이사회 운영 업무와 직접 정합. 다만 재무 파트(연결·밸류에이션)는 전 직장에서도 CFO·재무팀 담당으로 관여도가 낮아 2차(CFO 동석) 검증 필요.</t>
        </is>
      </c>
      <c r="K31" s="299" t="n"/>
      <c r="L31" s="307" t="n"/>
      <c r="N31" s="289" t="n"/>
      <c r="O31" s="290" t="n"/>
      <c r="P31" s="289" t="n"/>
      <c r="W31" s="290" t="n"/>
    </row>
    <row r="32" ht="123.75" customHeight="1" s="277">
      <c r="B32" s="308" t="inlineStr">
        <is>
          <t>영어 업무 기본 역량</t>
        </is>
      </c>
      <c r="C32" s="279" t="n"/>
      <c r="D32" s="310" t="inlineStr">
        <is>
          <t>NASDAQ 트랙 대응 시 영어 커뮤니케이션 수준은?</t>
        </is>
      </c>
      <c r="E32" s="299" t="n"/>
      <c r="F32" s="279" t="n"/>
      <c r="G32" s="310" t="inlineStr">
        <is>
          <t>영문 서면을 읽고 답하는 업무는 문제없으나, 1:1 비즈니스 미팅 수준의 스피킹은 안 된다고 스스로 인정. 해외 투자자 피칭은 피치덱을 준비해 발표는 직접 수행하되 Q&amp;A는 쉬운 질문만 영어로, 긴 답변은 동시통역을 활용했다고 답변.</t>
        </is>
      </c>
      <c r="H32" s="299" t="n"/>
      <c r="I32" s="279" t="n"/>
      <c r="J32" s="311" t="inlineStr">
        <is>
          <t>서면 중심 업무는 가능한 수준으로 판단. NASDAQ 트랙 선택 시 역할 범위 설계 필요. 본인의 한계를 솔직하게 인정한 점은 긍정적.</t>
        </is>
      </c>
      <c r="K32" s="299" t="n"/>
      <c r="L32" s="307" t="n"/>
      <c r="N32" s="285" t="n"/>
      <c r="O32" s="281" t="n"/>
      <c r="P32" s="285" t="n"/>
      <c r="Q32" s="297" t="n"/>
      <c r="R32" s="297" t="n"/>
      <c r="S32" s="297" t="n"/>
      <c r="T32" s="297" t="n"/>
      <c r="U32" s="297" t="n"/>
      <c r="V32" s="297" t="n"/>
      <c r="W32" s="281" t="n"/>
    </row>
    <row r="33" hidden="1" ht="81.75" customHeight="1" s="277">
      <c r="B33" s="308" t="inlineStr">
        <is>
          <t>조직 및 사업 이해도</t>
        </is>
      </c>
      <c r="C33" s="279" t="n"/>
      <c r="D33" s="310" t="inlineStr">
        <is>
          <t>디스트릭트에 대해 조사한 내용과 궁금한 점은? (역질문 포함)</t>
        </is>
      </c>
      <c r="E33" s="299" t="n"/>
      <c r="F33" s="279" t="n"/>
      <c r="G33" s="310" t="inlineStr">
        <is>
          <t>감사보고서와 기사(월 수익 약 600만 달러 등)를 사전 분석하여 LA 신규 전시관 CAPEX 유출이 LV·NY 수익을 상회하는 구조를 짚고, LA 오픈 시점·수익화 전망·연내 펀드레이징 필요성을 역질문. AI 업무 활용 여부도 질의.</t>
        </is>
      </c>
      <c r="H33" s="299" t="n"/>
      <c r="I33" s="279" t="n"/>
      <c r="J33" s="311" t="inlineStr">
        <is>
          <t>재무제표 독해력과 사전 조사 수준이 높아 사업 이해도와 지원 진정성이 확인됨.</t>
        </is>
      </c>
      <c r="K33" s="299" t="n"/>
      <c r="L33" s="307" t="n"/>
      <c r="N33" s="154" t="inlineStr">
        <is>
          <t>MEET</t>
        </is>
      </c>
      <c r="O33" s="288" t="n"/>
      <c r="P33" s="160" t="inlineStr">
        <is>
          <t xml:space="preserve">• 포지션에 대한 역량을 대부분 갖춤
• 특정업무에 있어 기대수준 이상의 업무 수행력을 갖추고 있다고 판단 </t>
        </is>
      </c>
      <c r="Q33" s="292" t="n"/>
      <c r="R33" s="292" t="n"/>
      <c r="S33" s="292" t="n"/>
      <c r="T33" s="292" t="n"/>
      <c r="U33" s="292" t="n"/>
      <c r="V33" s="292" t="n"/>
      <c r="W33" s="288" t="n"/>
    </row>
    <row r="34" ht="3.75" customFormat="1" customHeight="1" s="122">
      <c r="B34" s="308" t="n"/>
      <c r="C34" s="279" t="n"/>
      <c r="D34" s="309" t="n"/>
      <c r="E34" s="299" t="n"/>
      <c r="F34" s="279" t="n"/>
      <c r="G34" s="310" t="n"/>
      <c r="H34" s="299" t="n"/>
      <c r="I34" s="279" t="n"/>
      <c r="J34" s="312" t="n"/>
      <c r="K34" s="299" t="n"/>
      <c r="L34" s="307" t="n"/>
      <c r="N34" s="289" t="n"/>
      <c r="O34" s="290" t="n"/>
      <c r="P34" s="289" t="n"/>
      <c r="W34" s="290" t="n"/>
    </row>
    <row r="35" ht="1.5" customHeight="1" s="277">
      <c r="B35" s="308" t="n"/>
      <c r="C35" s="279" t="n"/>
      <c r="D35" s="310" t="n"/>
      <c r="E35" s="299" t="n"/>
      <c r="F35" s="279" t="n"/>
      <c r="G35" s="310" t="n"/>
      <c r="H35" s="299" t="n"/>
      <c r="I35" s="279" t="n"/>
      <c r="J35" s="311" t="n"/>
      <c r="K35" s="299" t="n"/>
      <c r="L35" s="307" t="n"/>
      <c r="N35" s="285" t="n"/>
      <c r="O35" s="281" t="n"/>
      <c r="P35" s="285" t="n"/>
      <c r="Q35" s="297" t="n"/>
      <c r="R35" s="297" t="n"/>
      <c r="S35" s="297" t="n"/>
      <c r="T35" s="297" t="n"/>
      <c r="U35" s="297" t="n"/>
      <c r="V35" s="297" t="n"/>
      <c r="W35" s="281" t="n"/>
    </row>
    <row r="36" ht="21" customHeight="1" s="277">
      <c r="B36" s="308" t="n"/>
      <c r="C36" s="279" t="n"/>
      <c r="D36" s="310" t="n"/>
      <c r="E36" s="299" t="n"/>
      <c r="F36" s="279" t="n"/>
      <c r="G36" s="310" t="n"/>
      <c r="H36" s="299" t="n"/>
      <c r="I36" s="279" t="n"/>
      <c r="J36" s="115" t="n"/>
      <c r="K36" s="116" t="n"/>
      <c r="L36" s="117" t="n"/>
      <c r="N36" s="154" t="inlineStr">
        <is>
          <t>CHECK</t>
        </is>
      </c>
      <c r="O36" s="288" t="n"/>
      <c r="P36" s="155" t="inlineStr">
        <is>
          <t>• 추가 검증(FIT인터뷰, 과제 등) 이후 합격여부 결정</t>
        </is>
      </c>
      <c r="Q36" s="292" t="n"/>
      <c r="R36" s="292" t="n"/>
      <c r="S36" s="292" t="n"/>
      <c r="T36" s="292" t="n"/>
      <c r="U36" s="292" t="n"/>
      <c r="V36" s="292" t="n"/>
      <c r="W36" s="288" t="n"/>
    </row>
    <row r="37" ht="18" customHeight="1" s="277">
      <c r="B37" s="98" t="n"/>
      <c r="C37" s="99" t="n"/>
      <c r="D37" s="100" t="n"/>
      <c r="E37" s="101" t="n"/>
      <c r="F37" s="99" t="n"/>
      <c r="G37" s="100" t="n"/>
      <c r="H37" s="101" t="n"/>
      <c r="I37" s="99" t="n"/>
      <c r="J37" s="102" t="n"/>
      <c r="K37" s="103" t="n"/>
      <c r="L37" s="104" t="n"/>
      <c r="N37" s="289" t="n"/>
      <c r="O37" s="290" t="n"/>
      <c r="P37" s="289" t="n"/>
      <c r="W37" s="290" t="n"/>
    </row>
    <row r="38" ht="1.5" customHeight="1" s="277">
      <c r="B38" s="105" t="n"/>
      <c r="C38" s="106" t="n"/>
      <c r="D38" s="107" t="n"/>
      <c r="E38" s="61" t="n"/>
      <c r="F38" s="106" t="n"/>
      <c r="G38" s="107" t="n"/>
      <c r="H38" s="61" t="n"/>
      <c r="I38" s="106" t="n"/>
      <c r="J38" s="108" t="n"/>
      <c r="K38" s="109" t="n"/>
      <c r="L38" s="110" t="n"/>
      <c r="N38" s="285" t="n"/>
      <c r="O38" s="281" t="n"/>
      <c r="P38" s="285" t="n"/>
      <c r="Q38" s="297" t="n"/>
      <c r="R38" s="297" t="n"/>
      <c r="S38" s="297" t="n"/>
      <c r="T38" s="297" t="n"/>
      <c r="U38" s="297" t="n"/>
      <c r="V38" s="297" t="n"/>
      <c r="W38" s="281" t="n"/>
    </row>
    <row r="39" hidden="1" ht="18" customHeight="1" s="277">
      <c r="B39" s="105" t="n"/>
      <c r="C39" s="106" t="n"/>
      <c r="D39" s="107" t="n"/>
      <c r="E39" s="61" t="n"/>
      <c r="F39" s="106" t="n"/>
      <c r="G39" s="107" t="n"/>
      <c r="H39" s="61" t="n"/>
      <c r="I39" s="106" t="n"/>
      <c r="J39" s="108" t="n"/>
      <c r="K39" s="109" t="n"/>
      <c r="L39" s="110" t="n"/>
    </row>
    <row r="40" hidden="1" ht="18" customHeight="1" s="277">
      <c r="B40" s="105" t="n"/>
      <c r="C40" s="106" t="n"/>
      <c r="D40" s="107" t="n"/>
      <c r="E40" s="61" t="n"/>
      <c r="F40" s="106" t="n"/>
      <c r="G40" s="107" t="n"/>
      <c r="H40" s="61" t="n"/>
      <c r="I40" s="106" t="n"/>
      <c r="J40" s="108" t="n"/>
      <c r="K40" s="109" t="n"/>
      <c r="L40" s="110" t="n"/>
    </row>
    <row r="41" hidden="1" ht="18" customHeight="1" s="277">
      <c r="B41" s="105" t="n"/>
      <c r="C41" s="106" t="n"/>
      <c r="D41" s="107" t="n"/>
      <c r="E41" s="61" t="n"/>
      <c r="F41" s="106" t="n"/>
      <c r="G41" s="107" t="n"/>
      <c r="H41" s="61" t="n"/>
      <c r="I41" s="106" t="n"/>
      <c r="J41" s="108" t="n"/>
      <c r="K41" s="109" t="n"/>
      <c r="L41" s="110" t="n"/>
    </row>
    <row r="42" hidden="1" ht="18" customHeight="1" s="277">
      <c r="B42" s="105" t="n"/>
      <c r="C42" s="106" t="n"/>
      <c r="D42" s="107" t="n"/>
      <c r="E42" s="61" t="n"/>
      <c r="F42" s="106" t="n"/>
      <c r="G42" s="107" t="n"/>
      <c r="H42" s="61" t="n"/>
      <c r="I42" s="106" t="n"/>
      <c r="J42" s="108" t="n"/>
      <c r="K42" s="109" t="n"/>
      <c r="L42" s="110" t="n"/>
    </row>
    <row r="43" ht="17.25" customHeight="1" s="277">
      <c r="B43" s="118" t="n"/>
      <c r="C43" s="99" t="n"/>
      <c r="D43" s="119" t="n"/>
      <c r="E43" s="101" t="n"/>
      <c r="F43" s="99" t="n"/>
      <c r="G43" s="119" t="n"/>
      <c r="H43" s="101" t="n"/>
      <c r="I43" s="99" t="n"/>
      <c r="J43" s="120" t="n"/>
      <c r="K43" s="103" t="n"/>
      <c r="L43" s="104" t="n"/>
    </row>
    <row r="44" hidden="1" ht="18" customHeight="1" s="277">
      <c r="B44" s="105" t="n"/>
      <c r="C44" s="106" t="n"/>
      <c r="D44" s="107" t="n"/>
      <c r="E44" s="61" t="n"/>
      <c r="F44" s="106" t="n"/>
      <c r="G44" s="107" t="n"/>
      <c r="H44" s="61" t="n"/>
      <c r="I44" s="106" t="n"/>
      <c r="J44" s="108" t="n"/>
      <c r="K44" s="109" t="n"/>
      <c r="L44" s="110" t="n"/>
    </row>
    <row r="45" hidden="1" ht="18" customHeight="1" s="277">
      <c r="B45" s="105" t="n"/>
      <c r="C45" s="106" t="n"/>
      <c r="D45" s="107" t="n"/>
      <c r="E45" s="61" t="n"/>
      <c r="F45" s="106" t="n"/>
      <c r="G45" s="107" t="n"/>
      <c r="H45" s="61" t="n"/>
      <c r="I45" s="106" t="n"/>
      <c r="J45" s="108" t="n"/>
      <c r="K45" s="109" t="n"/>
      <c r="L45" s="110" t="n"/>
    </row>
    <row r="46" hidden="1" ht="18" customHeight="1" s="277">
      <c r="B46" s="105" t="n"/>
      <c r="C46" s="106" t="n"/>
      <c r="D46" s="107" t="n"/>
      <c r="E46" s="61" t="n"/>
      <c r="F46" s="106" t="n"/>
      <c r="G46" s="107" t="n"/>
      <c r="H46" s="61" t="n"/>
      <c r="I46" s="106" t="n"/>
      <c r="J46" s="108" t="n"/>
      <c r="K46" s="109" t="n"/>
      <c r="L46" s="110" t="n"/>
    </row>
    <row r="47" hidden="1" ht="18" customHeight="1" s="277">
      <c r="B47" s="105" t="n"/>
      <c r="C47" s="106" t="n"/>
      <c r="D47" s="107" t="n"/>
      <c r="E47" s="61" t="n"/>
      <c r="F47" s="106" t="n"/>
      <c r="G47" s="107" t="n"/>
      <c r="H47" s="61" t="n"/>
      <c r="I47" s="106" t="n"/>
      <c r="J47" s="108" t="n"/>
      <c r="K47" s="109" t="n"/>
      <c r="L47" s="110" t="n"/>
    </row>
    <row r="48" hidden="1" ht="18" customHeight="1" s="277">
      <c r="B48" s="111" t="n"/>
      <c r="C48" s="112" t="n"/>
      <c r="D48" s="113" t="n"/>
      <c r="E48" s="114" t="n"/>
      <c r="F48" s="112" t="n"/>
      <c r="G48" s="113" t="n"/>
      <c r="H48" s="114" t="n"/>
      <c r="I48" s="112" t="n"/>
      <c r="J48" s="115" t="n"/>
      <c r="K48" s="116" t="n"/>
      <c r="L48" s="117" t="n"/>
    </row>
    <row r="49" ht="17.85" customHeight="1" s="277">
      <c r="B49" s="142" t="inlineStr">
        <is>
          <t>핵심 업무역량 평가</t>
        </is>
      </c>
      <c r="C49" s="299" t="n"/>
      <c r="D49" s="299" t="n"/>
      <c r="E49" s="299" t="n"/>
      <c r="F49" s="299" t="n"/>
      <c r="G49" s="299" t="n"/>
      <c r="H49" s="299" t="n"/>
      <c r="I49" s="299" t="n"/>
      <c r="J49" s="299" t="n"/>
      <c r="K49" s="299" t="n"/>
      <c r="L49" s="279" t="n"/>
    </row>
    <row r="50" ht="126.75" customHeight="1" s="277" thickBot="1">
      <c r="B50" s="313" t="inlineStr">
        <is>
          <t>MEET</t>
        </is>
      </c>
      <c r="C50" s="314" t="n"/>
      <c r="D50" s="315" t="n"/>
      <c r="E50" s="316" t="n"/>
      <c r="F50" s="314" t="n"/>
      <c r="G50" s="317" t="inlineStr">
        <is>
          <t>코스닥 IPO 비재무 전 과정(예비심사 청구서 작성→거래소 심사 질의 대응→상장 후 관리)을 주관사 카운터파트로 완주한 경험과 이사회·거버넌스 실무 역량이 구체적 사례로 확인되어 포지션 정합성이 높음. 사전 조사에 기반한 역질문으로 재무 독해력과 IR 감각도 확인됨. 다만 재무 파트(연결·밸류에이션) 실무와 영어 스피킹 역량은 이번 인터뷰에서 검증되지 않아, 2차에서 CFO 동석 검증(NASDAQ 트랙 시 밸류애드 방안 발표 포함)을 전제로 MEET 의견을 제시함.</t>
        </is>
      </c>
      <c r="H50" s="316" t="n"/>
      <c r="I50" s="316" t="n"/>
      <c r="J50" s="316" t="n"/>
      <c r="K50" s="316" t="n"/>
      <c r="L50" s="318" t="n"/>
    </row>
    <row r="51" ht="18" customHeight="1" s="277" thickBot="1">
      <c r="B51" s="61" t="n"/>
      <c r="C51" s="60" t="n"/>
      <c r="D51" s="60" t="n"/>
      <c r="E51" s="60" t="n"/>
      <c r="F51" s="60" t="n"/>
      <c r="G51" s="60" t="n"/>
      <c r="H51" s="60" t="n"/>
      <c r="I51" s="60" t="n"/>
      <c r="J51" s="60" t="n"/>
      <c r="K51" s="60" t="n"/>
      <c r="L51" s="60" t="n"/>
    </row>
    <row r="52" ht="20.1" customHeight="1" s="277">
      <c r="B52" s="145" t="inlineStr">
        <is>
          <t>Core Value &amp; Fit</t>
        </is>
      </c>
      <c r="C52" s="282" t="n"/>
      <c r="D52" s="282" t="n"/>
      <c r="E52" s="282" t="n"/>
      <c r="F52" s="282" t="n"/>
      <c r="G52" s="282" t="n"/>
      <c r="H52" s="282" t="n"/>
      <c r="I52" s="282" t="n"/>
      <c r="J52" s="282" t="n"/>
      <c r="K52" s="282" t="n"/>
      <c r="L52" s="283" t="n"/>
      <c r="N52" s="156" t="inlineStr">
        <is>
          <t>구분</t>
        </is>
      </c>
      <c r="O52" s="288" t="n"/>
      <c r="P52" s="208" t="inlineStr">
        <is>
          <t>Core Value &amp; Fit 평가기준</t>
        </is>
      </c>
      <c r="Q52" s="292" t="n"/>
      <c r="R52" s="292" t="n"/>
      <c r="S52" s="292" t="n"/>
      <c r="T52" s="292" t="n"/>
      <c r="U52" s="292" t="n"/>
      <c r="V52" s="292" t="n"/>
      <c r="W52" s="288" t="n"/>
    </row>
    <row r="53" ht="20.1" customHeight="1" s="277">
      <c r="B53" s="304" t="inlineStr">
        <is>
          <t>핵심가치</t>
        </is>
      </c>
      <c r="C53" s="279" t="n"/>
      <c r="D53" s="305" t="inlineStr">
        <is>
          <t>질문</t>
        </is>
      </c>
      <c r="E53" s="299" t="n"/>
      <c r="F53" s="279" t="n"/>
      <c r="G53" s="305" t="inlineStr">
        <is>
          <t>답변 &amp; 판단 근거</t>
        </is>
      </c>
      <c r="H53" s="299" t="n"/>
      <c r="I53" s="279" t="n"/>
      <c r="J53" s="306" t="inlineStr">
        <is>
          <t>면접관 의견</t>
        </is>
      </c>
      <c r="K53" s="299" t="n"/>
      <c r="L53" s="307" t="n"/>
      <c r="N53" s="285" t="n"/>
      <c r="O53" s="281" t="n"/>
      <c r="P53" s="287" t="n"/>
      <c r="Q53" s="297" t="n"/>
      <c r="R53" s="297" t="n"/>
      <c r="S53" s="297" t="n"/>
      <c r="T53" s="297" t="n"/>
      <c r="U53" s="297" t="n"/>
      <c r="V53" s="297" t="n"/>
      <c r="W53" s="281" t="n"/>
    </row>
    <row r="54" ht="71.25" customHeight="1" s="277">
      <c r="B54" s="308" t="inlineStr">
        <is>
          <t>INNOVATION</t>
        </is>
      </c>
      <c r="C54" s="288" t="n"/>
      <c r="D54" s="309" t="inlineStr">
        <is>
          <t>디스트릭트코리아 입사 후 기대하는 성장과 일하고 싶은 조직의 모습</t>
        </is>
      </c>
      <c r="E54" s="292" t="n"/>
      <c r="F54" s="288" t="n"/>
      <c r="G54" s="310" t="inlineStr">
        <is>
          <t>30년 이상 된 현 조직의 관료화와 경직된 R&amp;R에 답답함을 느꼈고, 역할 경계가 느슨해 회사에 필요한 일을 찾아서 할 수 있는 조직을 선호한다고 답변. 어려운 시기에 합류해 기여할 수 있다면 보람과 재미를 느낄 것 같다고 어필.</t>
        </is>
      </c>
      <c r="H54" s="292" t="n"/>
      <c r="I54" s="288" t="n"/>
      <c r="J54" s="311" t="inlineStr">
        <is>
          <t>시스템 정비가 진행 중인 당사 상황과 부합하는 성향. 스스로 일을 찾아서 하는 태도가 확인됨.</t>
        </is>
      </c>
      <c r="K54" s="292" t="n"/>
      <c r="L54" s="293" t="n"/>
      <c r="N54" s="154" t="inlineStr">
        <is>
          <t>PASS</t>
        </is>
      </c>
      <c r="O54" s="288" t="n"/>
      <c r="P54" s="160" t="inlineStr">
        <is>
          <t>• 디스트릭트가 추구하는 핵심가치와 업무 문화에 긍정적인 영향을 줄 수 있다고 판단</t>
        </is>
      </c>
      <c r="Q54" s="292" t="n"/>
      <c r="R54" s="292" t="n"/>
      <c r="S54" s="292" t="n"/>
      <c r="T54" s="292" t="n"/>
      <c r="U54" s="292" t="n"/>
      <c r="V54" s="292" t="n"/>
      <c r="W54" s="288" t="n"/>
    </row>
    <row r="55" ht="18" customHeight="1" s="277">
      <c r="B55" s="294" t="n"/>
      <c r="C55" s="290" t="n"/>
      <c r="D55" s="289" t="n"/>
      <c r="F55" s="290" t="n"/>
      <c r="G55" s="289" t="n"/>
      <c r="I55" s="290" t="n"/>
      <c r="J55" s="289" t="n"/>
      <c r="L55" s="295" t="n"/>
      <c r="N55" s="289" t="n"/>
      <c r="O55" s="290" t="n"/>
      <c r="P55" s="289" t="n"/>
      <c r="W55" s="290" t="n"/>
    </row>
    <row r="56" ht="18" customHeight="1" s="277">
      <c r="B56" s="294" t="n"/>
      <c r="C56" s="290" t="n"/>
      <c r="D56" s="289" t="n"/>
      <c r="F56" s="290" t="n"/>
      <c r="G56" s="289" t="n"/>
      <c r="I56" s="290" t="n"/>
      <c r="J56" s="289" t="n"/>
      <c r="L56" s="295" t="n"/>
      <c r="N56" s="285" t="n"/>
      <c r="O56" s="281" t="n"/>
      <c r="P56" s="285" t="n"/>
      <c r="Q56" s="297" t="n"/>
      <c r="R56" s="297" t="n"/>
      <c r="S56" s="297" t="n"/>
      <c r="T56" s="297" t="n"/>
      <c r="U56" s="297" t="n"/>
      <c r="V56" s="297" t="n"/>
      <c r="W56" s="281" t="n"/>
    </row>
    <row r="57" ht="18" customHeight="1" s="277">
      <c r="B57" s="296" t="n"/>
      <c r="C57" s="281" t="n"/>
      <c r="D57" s="285" t="n"/>
      <c r="E57" s="297" t="n"/>
      <c r="F57" s="281" t="n"/>
      <c r="G57" s="285" t="n"/>
      <c r="H57" s="297" t="n"/>
      <c r="I57" s="281" t="n"/>
      <c r="J57" s="285" t="n"/>
      <c r="K57" s="297" t="n"/>
      <c r="L57" s="298" t="n"/>
      <c r="N57" s="154" t="inlineStr">
        <is>
          <t>MEET</t>
        </is>
      </c>
      <c r="O57" s="288" t="n"/>
      <c r="P57" s="160" t="inlineStr">
        <is>
          <t>• 업무 방식이나 태도, 성향 등이 디스트릭트 핵심가치와 상당부분 부합함
• 협업이나 커뮤니케이션 시 이슈가 없을 것으로 예상</t>
        </is>
      </c>
      <c r="Q57" s="292" t="n"/>
      <c r="R57" s="292" t="n"/>
      <c r="S57" s="292" t="n"/>
      <c r="T57" s="292" t="n"/>
      <c r="U57" s="292" t="n"/>
      <c r="V57" s="292" t="n"/>
      <c r="W57" s="288" t="n"/>
    </row>
    <row r="58" ht="71.25" customHeight="1" s="277">
      <c r="B58" s="308" t="inlineStr">
        <is>
          <t>TEAM WORK</t>
        </is>
      </c>
      <c r="C58" s="279" t="n"/>
      <c r="D58" s="309" t="inlineStr">
        <is>
          <t>경영진·이해관계자와의 협업 방식</t>
        </is>
      </c>
      <c r="E58" s="299" t="n"/>
      <c r="F58" s="279" t="n"/>
      <c r="G58" s="310" t="inlineStr">
        <is>
          <t>노터스에서 주관사 팀장과 카운터파트로 호흡을 맞췄고, 이스트소프트에서 대표·사내외 이사 사전 설득 업무를 수행. 당사 CEO·CFO와의 소통 방식에 대해 역질문하는 등 협업 환경에 대한 관심을 보임.</t>
        </is>
      </c>
      <c r="H58" s="299" t="n"/>
      <c r="I58" s="279" t="n"/>
      <c r="J58" s="311" t="inlineStr">
        <is>
          <t>다수 이해관계자 조율 경험이 충분한 것으로 판단됨.</t>
        </is>
      </c>
      <c r="K58" s="299" t="n"/>
      <c r="L58" s="307" t="n"/>
      <c r="N58" s="289" t="n"/>
      <c r="O58" s="290" t="n"/>
      <c r="P58" s="289" t="n"/>
      <c r="W58" s="290" t="n"/>
    </row>
    <row r="59" ht="106.5" customHeight="1" s="277">
      <c r="B59" s="308" t="inlineStr">
        <is>
          <t>HONESTY</t>
        </is>
      </c>
      <c r="C59" s="279" t="n"/>
      <c r="D59" s="309" t="inlineStr">
        <is>
          <t>이직 사유(현 직장 및 과거 단기 재직 이력 포함)</t>
        </is>
      </c>
      <c r="E59" s="299" t="n"/>
      <c r="F59" s="279" t="n"/>
      <c r="G59" s="310" t="inlineStr">
        <is>
          <t>현 직장(이스트소프트)에서 권고사직 제안을 받은 사실과 스톡옵션 베스팅을 채우지 못하는 상황까지 먼저 솔직하게 공개. 메디튤립 조기 퇴사(입사 전 설명과 실제 준비 상태의 괴리), 플리토 이직(비현실적 목표를 투자자에게 전달해야 했던 회의감) 사유도 일관성 있게 설명.</t>
        </is>
      </c>
      <c r="H59" s="299" t="n"/>
      <c r="I59" s="279" t="n"/>
      <c r="J59" s="311" t="inlineStr">
        <is>
          <t>본인에게 불리할 수 있는 사실을 선제적으로 공개한 점에서 정직성을 긍정 평가. 권고사직 배경은 평판 조회 시 교차 확인 권장.</t>
        </is>
      </c>
      <c r="K59" s="299" t="n"/>
      <c r="L59" s="307" t="n"/>
      <c r="N59" s="285" t="n"/>
      <c r="O59" s="281" t="n"/>
      <c r="P59" s="285" t="n"/>
      <c r="Q59" s="297" t="n"/>
      <c r="R59" s="297" t="n"/>
      <c r="S59" s="297" t="n"/>
      <c r="T59" s="297" t="n"/>
      <c r="U59" s="297" t="n"/>
      <c r="V59" s="297" t="n"/>
      <c r="W59" s="281" t="n"/>
    </row>
    <row r="60" ht="71.25" customHeight="1" s="277">
      <c r="B60" s="308" t="inlineStr">
        <is>
          <t>PASSION</t>
        </is>
      </c>
      <c r="C60" s="279" t="n"/>
      <c r="D60" s="309" t="inlineStr">
        <is>
          <t>지원 동기 및 회사에 대한 사전 조사</t>
        </is>
      </c>
      <c r="E60" s="299" t="n"/>
      <c r="F60" s="279" t="n"/>
      <c r="G60" s="310" t="inlineStr">
        <is>
          <t>감사보고서·기사 분석에 기반한 역질문으로 높은 사전 조사 수준을 보임. 당사의 업사이드를 믿고 어려운 시기에 합류해 기여하고 싶다고 답변. 입사 가능 시기는 보수적으로 9월 1일 제시(권고사직 수용 시 조기 합류 여지 있음).</t>
        </is>
      </c>
      <c r="H60" s="299" t="n"/>
      <c r="I60" s="279" t="n"/>
      <c r="J60" s="311" t="inlineStr">
        <is>
          <t>지원 진정성이 확인됨.</t>
        </is>
      </c>
      <c r="K60" s="299" t="n"/>
      <c r="L60" s="307" t="n"/>
      <c r="N60" s="154" t="inlineStr">
        <is>
          <t>DROP</t>
        </is>
      </c>
      <c r="O60" s="288" t="n"/>
      <c r="P60" s="160" t="inlineStr">
        <is>
          <t>• 그동안의 경력이나 업무 방식이 디스트릭트의 핵심가치와 상반되거나 맞지 않음
• 협업이나 커뮤니케이션 시 이슈 발생 가능성이 높음</t>
        </is>
      </c>
      <c r="Q60" s="292" t="n"/>
      <c r="R60" s="292" t="n"/>
      <c r="S60" s="292" t="n"/>
      <c r="T60" s="292" t="n"/>
      <c r="U60" s="292" t="n"/>
      <c r="V60" s="292" t="n"/>
      <c r="W60" s="288" t="n"/>
    </row>
    <row r="61" ht="19.5" customHeight="1" s="277">
      <c r="B61" s="308" t="n"/>
      <c r="C61" s="279" t="n"/>
      <c r="D61" s="310" t="n"/>
      <c r="E61" s="299" t="n"/>
      <c r="F61" s="279" t="n"/>
      <c r="G61" s="310" t="n"/>
      <c r="H61" s="299" t="n"/>
      <c r="I61" s="279" t="n"/>
      <c r="J61" s="312" t="n"/>
      <c r="K61" s="299" t="n"/>
      <c r="L61" s="307" t="n"/>
      <c r="N61" s="289" t="n"/>
      <c r="O61" s="290" t="n"/>
      <c r="P61" s="289" t="n"/>
      <c r="W61" s="290" t="n"/>
    </row>
    <row r="62" ht="18" customHeight="1" s="277">
      <c r="B62" s="98" t="n"/>
      <c r="C62" s="99" t="n"/>
      <c r="D62" s="100" t="n"/>
      <c r="E62" s="101" t="n"/>
      <c r="F62" s="99" t="n"/>
      <c r="G62" s="100" t="n"/>
      <c r="H62" s="101" t="n"/>
      <c r="I62" s="99" t="n"/>
      <c r="J62" s="102" t="n"/>
      <c r="K62" s="103" t="n"/>
      <c r="L62" s="104" t="n"/>
      <c r="N62" s="285" t="n"/>
      <c r="O62" s="281" t="n"/>
      <c r="P62" s="285" t="n"/>
      <c r="Q62" s="297" t="n"/>
      <c r="R62" s="297" t="n"/>
      <c r="S62" s="297" t="n"/>
      <c r="T62" s="297" t="n"/>
      <c r="U62" s="297" t="n"/>
      <c r="V62" s="297" t="n"/>
      <c r="W62" s="281" t="n"/>
    </row>
    <row r="63" ht="18" customHeight="1" s="277">
      <c r="B63" s="105" t="n"/>
      <c r="C63" s="106" t="n"/>
      <c r="D63" s="107" t="n"/>
      <c r="E63" s="61" t="n"/>
      <c r="F63" s="106" t="n"/>
      <c r="G63" s="107" t="n"/>
      <c r="H63" s="61" t="n"/>
      <c r="I63" s="106" t="n"/>
      <c r="J63" s="108" t="n"/>
      <c r="K63" s="109" t="n"/>
      <c r="L63" s="110" t="n"/>
    </row>
    <row r="64" ht="18" customHeight="1" s="277">
      <c r="B64" s="105" t="n"/>
      <c r="C64" s="106" t="n"/>
      <c r="D64" s="107" t="n"/>
      <c r="E64" s="61" t="n"/>
      <c r="F64" s="106" t="n"/>
      <c r="G64" s="107" t="n"/>
      <c r="H64" s="61" t="n"/>
      <c r="I64" s="106" t="n"/>
      <c r="J64" s="108" t="n"/>
      <c r="K64" s="109" t="n"/>
      <c r="L64" s="110" t="n"/>
    </row>
    <row r="65" ht="18" customHeight="1" s="277">
      <c r="B65" s="111" t="n"/>
      <c r="C65" s="112" t="n"/>
      <c r="D65" s="113" t="n"/>
      <c r="E65" s="114" t="n"/>
      <c r="F65" s="112" t="n"/>
      <c r="G65" s="113" t="n"/>
      <c r="H65" s="114" t="n"/>
      <c r="I65" s="112" t="n"/>
      <c r="J65" s="115" t="n"/>
      <c r="K65" s="116" t="n"/>
      <c r="L65" s="117" t="n"/>
    </row>
    <row r="66" ht="18" customHeight="1" s="277">
      <c r="B66" s="118" t="n"/>
      <c r="C66" s="99" t="n"/>
      <c r="D66" s="119" t="n"/>
      <c r="E66" s="61" t="n"/>
      <c r="F66" s="99" t="n"/>
      <c r="G66" s="119" t="n"/>
      <c r="H66" s="101" t="n"/>
      <c r="I66" s="99" t="n"/>
      <c r="J66" s="120" t="n"/>
      <c r="K66" s="103" t="n"/>
      <c r="L66" s="104" t="n"/>
    </row>
    <row r="67" ht="18" customHeight="1" s="277">
      <c r="B67" s="105" t="n"/>
      <c r="C67" s="106" t="n"/>
      <c r="D67" s="107" t="n"/>
      <c r="E67" s="121" t="n"/>
      <c r="F67" s="106" t="n"/>
      <c r="G67" s="107" t="n"/>
      <c r="H67" s="61" t="n"/>
      <c r="I67" s="106" t="n"/>
      <c r="J67" s="108" t="n"/>
      <c r="K67" s="109" t="n"/>
      <c r="L67" s="110" t="n"/>
    </row>
    <row r="68" ht="18" customHeight="1" s="277">
      <c r="B68" s="105" t="n"/>
      <c r="C68" s="106" t="n"/>
      <c r="D68" s="107" t="n"/>
      <c r="E68" s="61" t="n"/>
      <c r="F68" s="106" t="n"/>
      <c r="G68" s="107" t="n"/>
      <c r="H68" s="61" t="n"/>
      <c r="I68" s="106" t="n"/>
      <c r="J68" s="108" t="n"/>
      <c r="K68" s="109" t="n"/>
      <c r="L68" s="110" t="n"/>
    </row>
    <row r="69" ht="18" customHeight="1" s="277">
      <c r="B69" s="111" t="n"/>
      <c r="C69" s="112" t="n"/>
      <c r="D69" s="113" t="n"/>
      <c r="E69" s="114" t="n"/>
      <c r="F69" s="112" t="n"/>
      <c r="G69" s="113" t="n"/>
      <c r="H69" s="114" t="n"/>
      <c r="I69" s="112" t="n"/>
      <c r="J69" s="115" t="n"/>
      <c r="K69" s="116" t="n"/>
      <c r="L69" s="117" t="n"/>
    </row>
    <row r="70" ht="18" customHeight="1" s="277">
      <c r="B70" s="189" t="inlineStr">
        <is>
          <t>Core Value &amp; Fit 평가</t>
        </is>
      </c>
      <c r="C70" s="299" t="n"/>
      <c r="D70" s="299" t="n"/>
      <c r="E70" s="299" t="n"/>
      <c r="F70" s="299" t="n"/>
      <c r="G70" s="299" t="n"/>
      <c r="H70" s="299" t="n"/>
      <c r="I70" s="299" t="n"/>
      <c r="J70" s="299" t="n"/>
      <c r="K70" s="299" t="n"/>
      <c r="L70" s="279" t="n"/>
    </row>
    <row r="71" ht="126" customHeight="1" s="277" thickBot="1">
      <c r="B71" s="313" t="inlineStr">
        <is>
          <t>PASS</t>
        </is>
      </c>
      <c r="C71" s="314" t="n"/>
      <c r="D71" s="315" t="n"/>
      <c r="E71" s="316" t="n"/>
      <c r="F71" s="314" t="n"/>
      <c r="G71" s="317" t="inlineStr">
        <is>
          <t>불리한 사실까지 선제적으로 공개하는 정직성, 역할 경계에 얽매이지 않고 스스로 일을 찾아 하는 성향, 높은 수준의 사전 조사에 기반한 지원 진정성이 확인되어 당사가 추구하는 핵심가치 및 업무 문화와의 적합도가 양호한 것으로 판단됨. PASS 의견으로 제시함.</t>
        </is>
      </c>
      <c r="H71" s="316" t="n"/>
      <c r="I71" s="316" t="n"/>
      <c r="J71" s="316" t="n"/>
      <c r="K71" s="316" t="n"/>
      <c r="L71" s="318" t="n"/>
    </row>
    <row r="72" ht="18" customHeight="1" s="277">
      <c r="B72" s="62" t="n"/>
      <c r="C72" s="62" t="n"/>
      <c r="D72" s="62" t="n"/>
      <c r="E72" s="62" t="n"/>
      <c r="F72" s="62" t="n"/>
      <c r="G72" s="62" t="n"/>
      <c r="H72" s="62" t="n"/>
      <c r="I72" s="62" t="n"/>
      <c r="J72" s="62" t="n"/>
      <c r="K72" s="62" t="n"/>
      <c r="L72" s="62" t="n"/>
    </row>
    <row r="73" ht="18" customHeight="1" s="277">
      <c r="B73" s="62" t="n"/>
      <c r="C73" s="62" t="n"/>
      <c r="D73" s="62" t="n"/>
      <c r="E73" s="62" t="n"/>
      <c r="F73" s="62" t="n"/>
      <c r="G73" s="62" t="n"/>
      <c r="H73" s="62" t="n"/>
      <c r="I73" s="62" t="n"/>
      <c r="J73" s="62" t="n"/>
      <c r="K73" s="62" t="n"/>
      <c r="L73" s="62" t="n"/>
    </row>
    <row r="74" ht="18" customHeight="1" s="277">
      <c r="B74" s="62" t="n"/>
      <c r="C74" s="62" t="n"/>
      <c r="D74" s="62" t="n"/>
      <c r="E74" s="62" t="n"/>
      <c r="F74" s="62" t="n"/>
      <c r="G74" s="62" t="n"/>
      <c r="H74" s="62" t="n"/>
      <c r="I74" s="62" t="n"/>
      <c r="J74" s="62" t="n"/>
      <c r="K74" s="62" t="n"/>
      <c r="L74" s="62" t="n"/>
    </row>
    <row r="75" ht="18" customHeight="1" s="277">
      <c r="B75" s="62" t="n"/>
      <c r="C75" s="62" t="n"/>
      <c r="D75" s="62" t="n"/>
      <c r="E75" s="62" t="n"/>
      <c r="F75" s="62" t="n"/>
      <c r="G75" s="62" t="n"/>
      <c r="H75" s="62" t="n"/>
      <c r="I75" s="62" t="n"/>
      <c r="J75" s="62" t="n"/>
      <c r="K75" s="62" t="n"/>
      <c r="L75" s="62" t="n"/>
    </row>
    <row r="76" ht="18" customHeight="1" s="277">
      <c r="B76" s="62" t="n"/>
      <c r="C76" s="62" t="n"/>
      <c r="D76" s="62" t="n"/>
      <c r="E76" s="62" t="n"/>
      <c r="F76" s="62" t="n"/>
      <c r="G76" s="62" t="n"/>
      <c r="H76" s="62" t="n"/>
      <c r="I76" s="62" t="n"/>
      <c r="J76" s="62" t="n"/>
      <c r="K76" s="62" t="n"/>
      <c r="L76" s="62" t="n"/>
    </row>
    <row r="77" ht="18" customHeight="1" s="277">
      <c r="B77" s="62" t="n"/>
      <c r="C77" s="62" t="n"/>
      <c r="D77" s="62" t="n"/>
      <c r="E77" s="62" t="n"/>
      <c r="F77" s="62" t="n"/>
      <c r="G77" s="62" t="n"/>
      <c r="H77" s="62" t="n"/>
      <c r="I77" s="62" t="n"/>
      <c r="J77" s="62" t="n"/>
      <c r="K77" s="62" t="n"/>
      <c r="L77" s="62" t="n"/>
    </row>
    <row r="78" ht="18" customHeight="1" s="277">
      <c r="B78" s="62" t="n"/>
      <c r="C78" s="62" t="n"/>
      <c r="D78" s="62" t="n"/>
      <c r="E78" s="62" t="n"/>
      <c r="F78" s="62" t="n"/>
      <c r="G78" s="62" t="n"/>
      <c r="H78" s="62" t="n"/>
      <c r="I78" s="62" t="n"/>
      <c r="J78" s="62" t="n"/>
      <c r="K78" s="62" t="n"/>
      <c r="L78" s="62" t="n"/>
    </row>
    <row r="79" ht="18" customHeight="1" s="277">
      <c r="B79" s="63" t="n"/>
      <c r="C79" s="63" t="n"/>
      <c r="D79" s="63" t="n"/>
      <c r="E79" s="63" t="n"/>
      <c r="F79" s="63" t="n"/>
      <c r="G79" s="63" t="n"/>
      <c r="H79" s="63" t="n"/>
      <c r="I79" s="63" t="n"/>
      <c r="J79" s="63" t="n"/>
      <c r="K79" s="63" t="n"/>
      <c r="L79" s="64" t="n"/>
    </row>
    <row r="80"/>
    <row r="81" hidden="1" ht="18" customHeight="1" s="277">
      <c r="B81" s="93" t="inlineStr">
        <is>
          <t>채용 직급 or 직책</t>
        </is>
      </c>
    </row>
    <row r="82" hidden="1" ht="18" customHeight="1" s="277">
      <c r="B82" s="67" t="inlineStr">
        <is>
          <t>매니저</t>
        </is>
      </c>
    </row>
    <row r="83" hidden="1" ht="18" customHeight="1" s="277">
      <c r="B83" s="94" t="inlineStr">
        <is>
          <t>선임</t>
        </is>
      </c>
    </row>
    <row r="84" hidden="1" ht="18" customHeight="1" s="277">
      <c r="B84" s="94" t="inlineStr">
        <is>
          <t>책임</t>
        </is>
      </c>
    </row>
    <row r="85" hidden="1" ht="18" customHeight="1" s="277">
      <c r="B85" s="94" t="inlineStr">
        <is>
          <t>수석</t>
        </is>
      </c>
    </row>
    <row r="86" hidden="1" ht="18" customHeight="1" s="277">
      <c r="B86" s="94" t="inlineStr">
        <is>
          <t>이사</t>
        </is>
      </c>
    </row>
    <row r="87" hidden="1" ht="18" customHeight="1" s="277">
      <c r="B87" s="67" t="inlineStr">
        <is>
          <t>팀장</t>
        </is>
      </c>
    </row>
    <row r="88" hidden="1" ht="18" customHeight="1" s="277">
      <c r="B88" s="67" t="inlineStr">
        <is>
          <t>본부장</t>
        </is>
      </c>
    </row>
    <row r="89" hidden="1" ht="18" customHeight="1" s="277">
      <c r="B89" s="65" t="n"/>
    </row>
    <row r="90" hidden="1" ht="18" customHeight="1" s="277">
      <c r="B90" s="65" t="n"/>
    </row>
    <row r="91" hidden="1" ht="18" customHeight="1" s="277">
      <c r="B91" s="65" t="n"/>
    </row>
    <row r="92" hidden="1" ht="18" customHeight="1" s="277">
      <c r="B92" s="66" t="inlineStr">
        <is>
          <t>채용본부</t>
        </is>
      </c>
    </row>
    <row r="93" hidden="1" ht="18" customHeight="1" s="277">
      <c r="B93" s="72" t="inlineStr">
        <is>
          <t>ARTE STUDIO본부</t>
        </is>
      </c>
    </row>
    <row r="94" hidden="1" ht="18" customHeight="1" s="277">
      <c r="B94" s="95" t="inlineStr">
        <is>
          <t>ARTE SPACE DESIGN본부</t>
        </is>
      </c>
    </row>
    <row r="95" hidden="1" ht="18" customHeight="1" s="277">
      <c r="B95" s="95" t="inlineStr">
        <is>
          <t>ARTE SPACE TECH본부</t>
        </is>
      </c>
    </row>
    <row r="96" hidden="1" ht="18" customHeight="1" s="277">
      <c r="B96" s="96" t="inlineStr">
        <is>
          <t>ARTE ART본부</t>
        </is>
      </c>
    </row>
    <row r="97" hidden="1" ht="18" customHeight="1" s="277">
      <c r="B97" s="96" t="inlineStr">
        <is>
          <t>ARTE MD본부</t>
        </is>
      </c>
    </row>
    <row r="98" hidden="1" ht="18" customHeight="1" s="277">
      <c r="B98" s="72" t="inlineStr">
        <is>
          <t>DX본부</t>
        </is>
      </c>
    </row>
    <row r="99" hidden="1" ht="18" customHeight="1" s="277">
      <c r="B99" s="72" t="inlineStr">
        <is>
          <t>영상제작본부</t>
        </is>
      </c>
    </row>
    <row r="100" hidden="1" ht="18" customHeight="1" s="277">
      <c r="B100" s="72" t="inlineStr">
        <is>
          <t>글로벌 운영본부</t>
        </is>
      </c>
    </row>
    <row r="101" hidden="1" ht="18" customHeight="1" s="277">
      <c r="B101" s="72" t="inlineStr">
        <is>
          <t>MIX본부</t>
        </is>
      </c>
    </row>
    <row r="102" hidden="1" ht="18" customHeight="1" s="277">
      <c r="B102" s="72" t="inlineStr">
        <is>
          <t>LIVX본부</t>
        </is>
      </c>
    </row>
    <row r="103" hidden="1" ht="18" customHeight="1" s="277">
      <c r="B103" s="97" t="inlineStr">
        <is>
          <t>아트앤리테일본부</t>
        </is>
      </c>
    </row>
    <row r="104" hidden="1" ht="18" customHeight="1" s="277">
      <c r="B104" s="72" t="inlineStr">
        <is>
          <t>사업개발본부</t>
        </is>
      </c>
    </row>
    <row r="105" hidden="1" ht="18" customHeight="1" s="277">
      <c r="B105" s="72" t="inlineStr">
        <is>
          <t>마케팅커뮤니케이션본부</t>
        </is>
      </c>
    </row>
    <row r="106" hidden="1" ht="18" customHeight="1" s="277">
      <c r="B106" s="72" t="inlineStr">
        <is>
          <t>글로벌사업개발본부</t>
        </is>
      </c>
    </row>
    <row r="107" hidden="1" ht="18" customHeight="1" s="277">
      <c r="B107" s="72" t="inlineStr">
        <is>
          <t>인사관리본부</t>
        </is>
      </c>
    </row>
    <row r="108" hidden="1" ht="18" customHeight="1" s="277">
      <c r="B108" s="97" t="inlineStr">
        <is>
          <t>회계관리본부</t>
        </is>
      </c>
    </row>
    <row r="109" hidden="1" ht="18" customHeight="1" s="277">
      <c r="B109" s="72" t="inlineStr">
        <is>
          <t>정보전략본부</t>
        </is>
      </c>
    </row>
    <row r="110" hidden="1" ht="18" customHeight="1" s="277">
      <c r="B110" s="72" t="inlineStr">
        <is>
          <t>법무&amp;컴플라이언스본부</t>
        </is>
      </c>
    </row>
    <row r="111" hidden="1" ht="18" customHeight="1" s="277">
      <c r="B111" s="97" t="inlineStr">
        <is>
          <t>경영관리본부</t>
        </is>
      </c>
    </row>
    <row r="112" ht="18" customHeight="1" s="277">
      <c r="B112" s="68" t="n"/>
    </row>
    <row r="113" ht="18" customHeight="1" s="277">
      <c r="B113" s="68" t="n"/>
    </row>
  </sheetData>
  <mergeCells count="124">
    <mergeCell ref="P30:W32"/>
    <mergeCell ref="N36:O38"/>
    <mergeCell ref="J35:L35"/>
    <mergeCell ref="B31:C31"/>
    <mergeCell ref="P54:W56"/>
    <mergeCell ref="D53:F53"/>
    <mergeCell ref="N28:O29"/>
    <mergeCell ref="B12:L16"/>
    <mergeCell ref="B61:C61"/>
    <mergeCell ref="D30:F30"/>
    <mergeCell ref="N12:O14"/>
    <mergeCell ref="R12:S12"/>
    <mergeCell ref="D29:F29"/>
    <mergeCell ref="P57:W59"/>
    <mergeCell ref="J61:L61"/>
    <mergeCell ref="D4:E4"/>
    <mergeCell ref="P13:Q13"/>
    <mergeCell ref="J29:L29"/>
    <mergeCell ref="B49:L49"/>
    <mergeCell ref="G36:I36"/>
    <mergeCell ref="G71:L71"/>
    <mergeCell ref="B33:C33"/>
    <mergeCell ref="R7:S8"/>
    <mergeCell ref="P15:Q15"/>
    <mergeCell ref="B32:C32"/>
    <mergeCell ref="B35:C35"/>
    <mergeCell ref="P52:W53"/>
    <mergeCell ref="B3:C3"/>
    <mergeCell ref="P10:Q10"/>
    <mergeCell ref="R10:S10"/>
    <mergeCell ref="G30:I30"/>
    <mergeCell ref="P9:Q9"/>
    <mergeCell ref="R16:S16"/>
    <mergeCell ref="F5:G5"/>
    <mergeCell ref="P11:Q11"/>
    <mergeCell ref="B53:C53"/>
    <mergeCell ref="G32:I32"/>
    <mergeCell ref="J33:L33"/>
    <mergeCell ref="B29:C29"/>
    <mergeCell ref="N60:O62"/>
    <mergeCell ref="D60:F60"/>
    <mergeCell ref="H3:I3"/>
    <mergeCell ref="D31:F31"/>
    <mergeCell ref="J60:L60"/>
    <mergeCell ref="H5:I5"/>
    <mergeCell ref="P14:Q14"/>
    <mergeCell ref="R14:S14"/>
    <mergeCell ref="N30:O32"/>
    <mergeCell ref="J30:L30"/>
    <mergeCell ref="J53:L53"/>
    <mergeCell ref="N54:O56"/>
    <mergeCell ref="F4:G4"/>
    <mergeCell ref="N15:O17"/>
    <mergeCell ref="P7:Q8"/>
    <mergeCell ref="B7:L7"/>
    <mergeCell ref="P33:W35"/>
    <mergeCell ref="D32:F32"/>
    <mergeCell ref="G53:I53"/>
    <mergeCell ref="K5:L5"/>
    <mergeCell ref="P60:W62"/>
    <mergeCell ref="G34:I34"/>
    <mergeCell ref="B71:C71"/>
    <mergeCell ref="B58:C58"/>
    <mergeCell ref="P28:W29"/>
    <mergeCell ref="G58:I58"/>
    <mergeCell ref="J32:L32"/>
    <mergeCell ref="B52:L52"/>
    <mergeCell ref="D54:F57"/>
    <mergeCell ref="D71:F71"/>
    <mergeCell ref="D58:F58"/>
    <mergeCell ref="B60:C60"/>
    <mergeCell ref="G29:I29"/>
    <mergeCell ref="D33:F33"/>
    <mergeCell ref="B17:L17"/>
    <mergeCell ref="P36:W38"/>
    <mergeCell ref="P17:Q17"/>
    <mergeCell ref="H2:I2"/>
    <mergeCell ref="J58:L58"/>
    <mergeCell ref="N33:O35"/>
    <mergeCell ref="B34:C34"/>
    <mergeCell ref="G31:I31"/>
    <mergeCell ref="D35:F35"/>
    <mergeCell ref="D50:F50"/>
    <mergeCell ref="B28:L28"/>
    <mergeCell ref="D59:F59"/>
    <mergeCell ref="R17:S17"/>
    <mergeCell ref="N57:O59"/>
    <mergeCell ref="D3:E3"/>
    <mergeCell ref="D34:F34"/>
    <mergeCell ref="B30:C30"/>
    <mergeCell ref="J54:L57"/>
    <mergeCell ref="P12:Q12"/>
    <mergeCell ref="B5:C5"/>
    <mergeCell ref="D5:E5"/>
    <mergeCell ref="J59:L59"/>
    <mergeCell ref="D36:F36"/>
    <mergeCell ref="J34:L34"/>
    <mergeCell ref="N52:O53"/>
    <mergeCell ref="N9:O11"/>
    <mergeCell ref="R9:S9"/>
    <mergeCell ref="B4:C4"/>
    <mergeCell ref="G54:I57"/>
    <mergeCell ref="B59:C59"/>
    <mergeCell ref="R11:S11"/>
    <mergeCell ref="D61:F61"/>
    <mergeCell ref="H4:I4"/>
    <mergeCell ref="R13:S13"/>
    <mergeCell ref="G33:I33"/>
    <mergeCell ref="F3:G3"/>
    <mergeCell ref="B70:L70"/>
    <mergeCell ref="R15:S15"/>
    <mergeCell ref="J31:L31"/>
    <mergeCell ref="G35:I35"/>
    <mergeCell ref="B22:L26"/>
    <mergeCell ref="G60:I60"/>
    <mergeCell ref="G50:L50"/>
    <mergeCell ref="P16:Q16"/>
    <mergeCell ref="N7:O8"/>
    <mergeCell ref="B54:C57"/>
    <mergeCell ref="G59:I59"/>
    <mergeCell ref="G61:I61"/>
    <mergeCell ref="B36:C36"/>
    <mergeCell ref="B50:C50"/>
    <mergeCell ref="K4:L4"/>
  </mergeCells>
  <dataValidations count="3">
    <dataValidation sqref="D5" showDropDown="0" showInputMessage="1" showErrorMessage="1" allowBlank="1" type="list">
      <formula1>"정규직,계약직"</formula1>
    </dataValidation>
    <dataValidation sqref="H5:I5" showDropDown="0" showInputMessage="1" showErrorMessage="1" allowBlank="1" type="list">
      <formula1>$B$82:$B$88</formula1>
    </dataValidation>
    <dataValidation sqref="D4:E4" showDropDown="0" showInputMessage="1" showErrorMessage="1" allowBlank="1" type="list">
      <formula1>$B$93:$B$111</formula1>
    </dataValidation>
  </dataValidations>
  <pageMargins left="0.7" right="0.7" top="0.75" bottom="0.75" header="0.3" footer="0.3"/>
  <pageSetup orientation="portrait" paperSize="9" scale="45"/>
  <colBreaks count="1" manualBreakCount="1">
    <brk id="12" min="0" max="1048575" man="1"/>
  </colBreaks>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K23"/>
  <sheetViews>
    <sheetView showGridLines="0" workbookViewId="0">
      <selection activeCell="A1" sqref="A1"/>
    </sheetView>
  </sheetViews>
  <sheetFormatPr baseColWidth="8" defaultRowHeight="13.5"/>
  <cols>
    <col width="9" customWidth="1" style="277" min="3" max="3"/>
    <col width="74.7109375" customWidth="1" style="277" min="4" max="4"/>
    <col width="9.5703125" customWidth="1" style="277" min="5" max="7"/>
    <col width="1.5703125" customWidth="1" style="277" min="8" max="8"/>
    <col width="9.5703125" customWidth="1" style="277" min="9" max="10"/>
    <col width="9.5703125" customWidth="1" style="76" min="11" max="11"/>
  </cols>
  <sheetData>
    <row r="1" ht="17.25" customHeight="1" s="277">
      <c r="A1" s="92" t="inlineStr">
        <is>
          <t>1차 역량인터뷰 결과값 참조시트</t>
        </is>
      </c>
    </row>
    <row r="2" ht="16.5" customHeight="1" s="277">
      <c r="F2" s="156" t="inlineStr">
        <is>
          <t>역량</t>
        </is>
      </c>
      <c r="G2" s="156" t="inlineStr">
        <is>
          <t>Fit</t>
        </is>
      </c>
      <c r="H2" s="69" t="n"/>
      <c r="I2" s="156" t="inlineStr">
        <is>
          <t>역량</t>
        </is>
      </c>
      <c r="J2" s="156" t="inlineStr">
        <is>
          <t>Fit</t>
        </is>
      </c>
      <c r="K2" s="156" t="inlineStr">
        <is>
          <t>면접결과</t>
        </is>
      </c>
    </row>
    <row r="3" ht="15.75" customHeight="1" s="277">
      <c r="E3" s="0">
        <f>F3&amp;G3</f>
        <v/>
      </c>
      <c r="F3" s="154" t="inlineStr">
        <is>
          <t>PASS</t>
        </is>
      </c>
      <c r="G3" s="154" t="inlineStr">
        <is>
          <t>PASS</t>
        </is>
      </c>
      <c r="H3" s="69" t="n"/>
      <c r="I3" s="154" t="inlineStr">
        <is>
          <t>PASS</t>
        </is>
      </c>
      <c r="J3" s="154" t="inlineStr">
        <is>
          <t>PASS</t>
        </is>
      </c>
      <c r="K3" s="78" t="inlineStr">
        <is>
          <t>PASS</t>
        </is>
      </c>
    </row>
    <row r="4" ht="15.75" customHeight="1" s="277">
      <c r="E4" s="0">
        <f>F4&amp;G4</f>
        <v/>
      </c>
      <c r="F4" s="154" t="inlineStr">
        <is>
          <t>PASS</t>
        </is>
      </c>
      <c r="G4" s="154" t="inlineStr">
        <is>
          <t>MEET</t>
        </is>
      </c>
      <c r="H4" s="69" t="n"/>
      <c r="I4" s="319" t="n"/>
      <c r="J4" s="154" t="inlineStr">
        <is>
          <t>MEET</t>
        </is>
      </c>
      <c r="K4" s="78" t="inlineStr">
        <is>
          <t>PASS</t>
        </is>
      </c>
    </row>
    <row r="5" ht="15.75" customHeight="1" s="277">
      <c r="E5" s="0">
        <f>F5&amp;G5</f>
        <v/>
      </c>
      <c r="F5" s="154" t="inlineStr">
        <is>
          <t>PASS</t>
        </is>
      </c>
      <c r="G5" s="154" t="inlineStr">
        <is>
          <t>DROP</t>
        </is>
      </c>
      <c r="H5" s="69" t="n"/>
      <c r="I5" s="320" t="n"/>
      <c r="J5" s="154" t="inlineStr">
        <is>
          <t>DROP</t>
        </is>
      </c>
      <c r="K5" s="79" t="inlineStr">
        <is>
          <t>CHECK</t>
        </is>
      </c>
    </row>
    <row r="6" ht="16.5" customHeight="1" s="277">
      <c r="E6" s="0">
        <f>F6&amp;G6</f>
        <v/>
      </c>
      <c r="F6" s="154" t="inlineStr">
        <is>
          <t>MEET</t>
        </is>
      </c>
      <c r="G6" s="154" t="inlineStr">
        <is>
          <t>PASS</t>
        </is>
      </c>
      <c r="H6" s="69" t="n"/>
      <c r="I6" s="154" t="inlineStr">
        <is>
          <t>MEET</t>
        </is>
      </c>
      <c r="J6" s="154" t="inlineStr">
        <is>
          <t>PASS</t>
        </is>
      </c>
      <c r="K6" s="78" t="inlineStr">
        <is>
          <t>PASS</t>
        </is>
      </c>
    </row>
    <row r="7" ht="16.5" customHeight="1" s="277">
      <c r="E7" s="0">
        <f>F7&amp;G7</f>
        <v/>
      </c>
      <c r="F7" s="154" t="inlineStr">
        <is>
          <t>MEET</t>
        </is>
      </c>
      <c r="G7" s="154" t="inlineStr">
        <is>
          <t>MEET</t>
        </is>
      </c>
      <c r="H7" s="69" t="n"/>
      <c r="I7" s="319" t="n"/>
      <c r="J7" s="154" t="inlineStr">
        <is>
          <t>MEET</t>
        </is>
      </c>
      <c r="K7" s="78" t="inlineStr">
        <is>
          <t>PASS</t>
        </is>
      </c>
    </row>
    <row r="8" ht="16.5" customHeight="1" s="277">
      <c r="E8" s="0">
        <f>F8&amp;G8</f>
        <v/>
      </c>
      <c r="F8" s="154" t="inlineStr">
        <is>
          <t>MEET</t>
        </is>
      </c>
      <c r="G8" s="154" t="inlineStr">
        <is>
          <t>DROP</t>
        </is>
      </c>
      <c r="H8" s="69" t="n"/>
      <c r="I8" s="320" t="n"/>
      <c r="J8" s="154" t="inlineStr">
        <is>
          <t>DROP</t>
        </is>
      </c>
      <c r="K8" s="79" t="inlineStr">
        <is>
          <t>CHECK</t>
        </is>
      </c>
    </row>
    <row r="9" ht="16.5" customHeight="1" s="277">
      <c r="E9" s="0">
        <f>F9&amp;G9</f>
        <v/>
      </c>
      <c r="F9" s="154" t="inlineStr">
        <is>
          <t>CHECK</t>
        </is>
      </c>
      <c r="G9" s="154" t="inlineStr">
        <is>
          <t>PASS</t>
        </is>
      </c>
      <c r="H9" s="69" t="n"/>
      <c r="I9" s="154" t="inlineStr">
        <is>
          <t>CHECK</t>
        </is>
      </c>
      <c r="J9" s="154" t="inlineStr">
        <is>
          <t>PASS</t>
        </is>
      </c>
      <c r="K9" s="79" t="inlineStr">
        <is>
          <t>CHECK</t>
        </is>
      </c>
    </row>
    <row r="10" ht="16.5" customHeight="1" s="277">
      <c r="E10" s="0">
        <f>F10&amp;G10</f>
        <v/>
      </c>
      <c r="F10" s="154" t="inlineStr">
        <is>
          <t>CHECK</t>
        </is>
      </c>
      <c r="G10" s="154" t="inlineStr">
        <is>
          <t>MEET</t>
        </is>
      </c>
      <c r="H10" s="69" t="n"/>
      <c r="I10" s="319" t="n"/>
      <c r="J10" s="154" t="inlineStr">
        <is>
          <t>MEET</t>
        </is>
      </c>
      <c r="K10" s="79" t="inlineStr">
        <is>
          <t>CHECK</t>
        </is>
      </c>
    </row>
    <row r="11" ht="16.5" customHeight="1" s="277">
      <c r="E11" s="0">
        <f>F11&amp;G11</f>
        <v/>
      </c>
      <c r="F11" s="154" t="inlineStr">
        <is>
          <t>CHECK</t>
        </is>
      </c>
      <c r="G11" s="154" t="inlineStr">
        <is>
          <t>DROP</t>
        </is>
      </c>
      <c r="H11" s="69" t="n"/>
      <c r="I11" s="320" t="n"/>
      <c r="J11" s="154" t="inlineStr">
        <is>
          <t>DROP</t>
        </is>
      </c>
      <c r="K11" s="159" t="inlineStr">
        <is>
          <t>DROP</t>
        </is>
      </c>
    </row>
    <row r="12"/>
    <row r="13"/>
    <row r="14" ht="16.5" customHeight="1" s="277">
      <c r="C14" s="156" t="inlineStr">
        <is>
          <t>핵심 업무역량 평가기준</t>
        </is>
      </c>
      <c r="D14" s="279" t="n"/>
    </row>
    <row r="15" ht="31.5" customHeight="1" s="277">
      <c r="C15" s="154" t="inlineStr">
        <is>
          <t>PASS</t>
        </is>
      </c>
      <c r="D15" s="81" t="inlineStr">
        <is>
          <t>• 포지션에 대한 역량을 모두 갖추었고, 역할 확대가 가능함
• 기대수준 이상의 업무 수행력과 성과 창출이 가능하다고 판단</t>
        </is>
      </c>
    </row>
    <row r="16" ht="48" customHeight="1" s="277">
      <c r="C16" s="154" t="inlineStr">
        <is>
          <t>MEET</t>
        </is>
      </c>
      <c r="D16" s="81" t="inlineStr">
        <is>
          <t xml:space="preserve">• 포지션에 대한 역량을 대부분 갖춤
• 특정업무에 있어 기대수준 이상의 업무 수행력을 
   갖추고 있다고 판단 </t>
        </is>
      </c>
    </row>
    <row r="17" ht="31.5" customHeight="1" s="277">
      <c r="C17" s="154" t="inlineStr">
        <is>
          <t>CHECK</t>
        </is>
      </c>
      <c r="D17" s="82" t="inlineStr">
        <is>
          <t>• 추가 검증(FIT인터뷰, 과제 등) 이후 합격여부 결정</t>
        </is>
      </c>
    </row>
    <row r="18"/>
    <row r="19"/>
    <row r="20" ht="16.5" customHeight="1" s="277">
      <c r="C20" s="156" t="inlineStr">
        <is>
          <t>Core Value &amp; Fit 평가기준</t>
        </is>
      </c>
      <c r="D20" s="279" t="n"/>
    </row>
    <row r="21" ht="31.5" customHeight="1" s="277">
      <c r="C21" s="154" t="inlineStr">
        <is>
          <t>PASS</t>
        </is>
      </c>
      <c r="D21" s="81" t="inlineStr">
        <is>
          <t>• 디스트릭트가 추구하는 핵심가치와 업무 문화에 긍정적인 영향을 줄 수 있다고 판단</t>
        </is>
      </c>
    </row>
    <row r="22" ht="56.25" customHeight="1" s="277">
      <c r="C22" s="154" t="inlineStr">
        <is>
          <t>MEET</t>
        </is>
      </c>
      <c r="D22" s="81" t="inlineStr">
        <is>
          <t>• 업무 방식이나 태도, 성향 등이 디스트릭트 핵심가치와 
   상당부분 부합함
• 협업이나 커뮤니케이션 시 이슈가 없을 것으로 예상</t>
        </is>
      </c>
    </row>
    <row r="23" ht="54" customHeight="1" s="277">
      <c r="C23" s="154" t="inlineStr">
        <is>
          <t>DROP</t>
        </is>
      </c>
      <c r="D23" s="81" t="inlineStr">
        <is>
          <t>• 그동안의 경력이나 업무 방식이 디스트릭트의 핵심가치와 
   상반되거나 맞지 않음
• 협업이나 커뮤니케이션 시 이슈 발생 가능성이 높음</t>
        </is>
      </c>
    </row>
  </sheetData>
  <mergeCells count="5">
    <mergeCell ref="I6:I8"/>
    <mergeCell ref="C20:D20"/>
    <mergeCell ref="I3:I5"/>
    <mergeCell ref="C14:D14"/>
    <mergeCell ref="I9:I11"/>
  </mergeCells>
  <pageMargins left="0.7" right="0.7" top="0.75" bottom="0.75" header="0.3" footer="0.3"/>
</worksheet>
</file>

<file path=xl/worksheets/sheet3.xml><?xml version="1.0" encoding="utf-8"?>
<worksheet xmlns="http://schemas.openxmlformats.org/spreadsheetml/2006/main">
  <sheetPr>
    <tabColor theme="0" tint="-0.499984740745262"/>
    <outlinePr summaryBelow="1" summaryRight="1"/>
    <pageSetUpPr/>
  </sheetPr>
  <dimension ref="A1:O60"/>
  <sheetViews>
    <sheetView showGridLines="0" showWhiteSpace="0" view="pageBreakPreview" zoomScale="115" zoomScaleNormal="100" zoomScaleSheetLayoutView="115" workbookViewId="0">
      <pane ySplit="1" topLeftCell="A37" activePane="bottomLeft" state="frozen"/>
      <selection activeCell="A1" sqref="A1:M1"/>
      <selection pane="bottomLeft" activeCell="B51" sqref="B51:J53"/>
    </sheetView>
  </sheetViews>
  <sheetFormatPr baseColWidth="8" defaultColWidth="10.28515625" defaultRowHeight="18" customHeight="1"/>
  <cols>
    <col width="1.7109375" customWidth="1" style="4" min="1" max="1"/>
    <col width="11" customWidth="1" style="4" min="2" max="13"/>
    <col width="3" customWidth="1" style="4" min="14" max="14"/>
    <col width="11" customWidth="1" style="31" min="15" max="15"/>
    <col width="11" customWidth="1" style="4" min="16" max="20"/>
    <col width="10.28515625" customWidth="1" style="4" min="21" max="16384"/>
  </cols>
  <sheetData>
    <row r="1" ht="30" customHeight="1" s="277">
      <c r="B1" s="1" t="inlineStr">
        <is>
          <t>인사팀 면접 가이드라인 및 평가표</t>
        </is>
      </c>
      <c r="C1" s="2" t="n"/>
      <c r="D1" s="2" t="n"/>
      <c r="E1" s="2" t="n"/>
      <c r="F1" s="2" t="n"/>
      <c r="G1" s="2" t="n"/>
      <c r="H1" s="2" t="n"/>
      <c r="I1" s="2" t="n"/>
      <c r="J1" s="2" t="n"/>
      <c r="K1" s="2" t="n"/>
      <c r="L1" s="2" t="n"/>
      <c r="M1" s="3" t="n"/>
    </row>
    <row r="2" ht="18" customHeight="1" s="277">
      <c r="B2" s="5" t="n"/>
      <c r="C2" s="5" t="n"/>
      <c r="D2" s="5" t="n"/>
      <c r="E2" s="5" t="n"/>
      <c r="F2" s="5" t="n"/>
      <c r="G2" s="5" t="n"/>
      <c r="H2" s="5" t="n"/>
      <c r="I2" s="5" t="n"/>
      <c r="J2" s="5" t="n"/>
      <c r="K2" s="5" t="n"/>
      <c r="L2" s="5" t="n"/>
      <c r="M2" s="5" t="n"/>
    </row>
    <row r="3" ht="18" customHeight="1" s="277">
      <c r="B3" s="6" t="inlineStr">
        <is>
          <t>지원자 정보</t>
        </is>
      </c>
      <c r="C3" s="7" t="n"/>
      <c r="D3" s="7" t="n"/>
      <c r="E3" s="7" t="n"/>
      <c r="F3" s="7" t="inlineStr">
        <is>
          <t>면접 정보</t>
        </is>
      </c>
      <c r="G3" s="7" t="n"/>
      <c r="H3" s="7" t="n"/>
      <c r="I3" s="7" t="n"/>
      <c r="J3" s="7" t="n"/>
      <c r="K3" s="7" t="n"/>
      <c r="L3" s="7" t="n"/>
      <c r="M3" s="8" t="n"/>
    </row>
    <row r="4" ht="18" customHeight="1" s="277">
      <c r="B4" s="9" t="inlineStr">
        <is>
          <t>지원자명</t>
        </is>
      </c>
      <c r="C4" s="9" t="n"/>
      <c r="D4" s="9" t="inlineStr">
        <is>
          <t>지원 직군</t>
        </is>
      </c>
      <c r="E4" s="9" t="n"/>
      <c r="F4" s="9" t="inlineStr">
        <is>
          <t>면접관</t>
        </is>
      </c>
      <c r="G4" s="9" t="n"/>
      <c r="H4" s="9" t="n"/>
      <c r="I4" s="9" t="n"/>
      <c r="J4" s="9" t="inlineStr">
        <is>
          <t>면접일시</t>
        </is>
      </c>
      <c r="K4" s="9" t="n"/>
      <c r="L4" s="9" t="n"/>
      <c r="M4" s="9" t="n"/>
    </row>
    <row r="5" ht="18" customHeight="1" s="277">
      <c r="B5" s="10" t="n"/>
      <c r="C5" s="11" t="n"/>
      <c r="D5" s="10" t="n"/>
      <c r="E5" s="11" t="n"/>
      <c r="F5" s="10" t="n"/>
      <c r="G5" s="12" t="n"/>
      <c r="H5" s="12" t="n"/>
      <c r="I5" s="11" t="n"/>
      <c r="J5" s="13" t="n"/>
      <c r="K5" s="11" t="n"/>
      <c r="L5" s="14" t="n"/>
      <c r="M5" s="11" t="n"/>
    </row>
    <row r="6" ht="18" customHeight="1" s="277">
      <c r="B6" s="15" t="n"/>
      <c r="C6" s="16" t="n"/>
      <c r="D6" s="16" t="n"/>
      <c r="E6" s="16" t="n"/>
      <c r="F6" s="16" t="n"/>
      <c r="G6" s="16" t="n"/>
      <c r="H6" s="16" t="n"/>
      <c r="I6" s="16" t="n"/>
      <c r="J6" s="16" t="n"/>
      <c r="K6" s="16" t="n"/>
      <c r="L6" s="16" t="n"/>
      <c r="M6" s="16" t="n"/>
    </row>
    <row r="7" hidden="1" ht="18" customHeight="1" s="277">
      <c r="B7" s="17" t="inlineStr">
        <is>
          <t>사전 검토 사항</t>
        </is>
      </c>
      <c r="C7" s="18" t="n"/>
      <c r="D7" s="18" t="n"/>
      <c r="E7" s="18" t="n"/>
      <c r="F7" s="18" t="n"/>
      <c r="G7" s="18" t="n"/>
      <c r="H7" s="18" t="n"/>
      <c r="I7" s="18" t="n"/>
      <c r="J7" s="18" t="n"/>
      <c r="K7" s="18" t="n"/>
      <c r="L7" s="18" t="n"/>
      <c r="M7" s="19" t="n"/>
    </row>
    <row r="8" hidden="1" ht="18" customHeight="1" s="277">
      <c r="B8" s="20" t="inlineStr">
        <is>
          <t>지원일</t>
        </is>
      </c>
      <c r="C8" s="21" t="n"/>
      <c r="D8" s="11" t="n"/>
      <c r="E8" s="20" t="inlineStr">
        <is>
          <t>입사사능일</t>
        </is>
      </c>
      <c r="F8" s="21" t="n"/>
      <c r="G8" s="11" t="n"/>
      <c r="H8" s="20" t="inlineStr">
        <is>
          <t>희망연봉</t>
        </is>
      </c>
      <c r="I8" s="10" t="n"/>
      <c r="J8" s="11" t="n"/>
      <c r="K8" s="20" t="inlineStr">
        <is>
          <t>직전연봉</t>
        </is>
      </c>
      <c r="L8" s="10" t="n"/>
      <c r="M8" s="11" t="n"/>
    </row>
    <row r="9" hidden="1" ht="18" customHeight="1" s="277">
      <c r="B9" s="20" t="inlineStr">
        <is>
          <t>경력연수</t>
        </is>
      </c>
      <c r="C9" s="10" t="n"/>
      <c r="D9" s="11" t="n"/>
      <c r="E9" s="20" t="inlineStr">
        <is>
          <t>총경력연수</t>
        </is>
      </c>
      <c r="F9" s="10" t="n"/>
      <c r="G9" s="11" t="n"/>
      <c r="H9" s="20" t="inlineStr">
        <is>
          <t>예상직급</t>
        </is>
      </c>
      <c r="I9" s="10" t="n"/>
      <c r="J9" s="22" t="n"/>
      <c r="K9" s="20" t="inlineStr">
        <is>
          <t>예상직책</t>
        </is>
      </c>
      <c r="L9" s="10" t="n"/>
      <c r="M9" s="22" t="n"/>
    </row>
    <row r="10" hidden="1" ht="18" customHeight="1" s="277">
      <c r="B10" s="15" t="n"/>
      <c r="C10" s="16" t="n"/>
      <c r="D10" s="16" t="n"/>
      <c r="E10" s="16" t="n"/>
      <c r="F10" s="16" t="n"/>
      <c r="G10" s="16" t="n"/>
      <c r="H10" s="16" t="n"/>
      <c r="I10" s="16" t="n"/>
      <c r="J10" s="16" t="n"/>
      <c r="K10" s="16" t="n"/>
      <c r="L10" s="16" t="n"/>
      <c r="M10" s="16" t="n"/>
    </row>
    <row r="11" ht="18" customHeight="1" s="277">
      <c r="B11" s="17" t="inlineStr">
        <is>
          <t>디스트릭트 핵심가치 평가</t>
        </is>
      </c>
      <c r="C11" s="23" t="n"/>
      <c r="D11" s="23" t="n"/>
      <c r="E11" s="23" t="n"/>
      <c r="F11" s="23" t="n"/>
      <c r="G11" s="23" t="n"/>
      <c r="H11" s="23" t="n"/>
      <c r="I11" s="23" t="n"/>
      <c r="J11" s="23" t="n"/>
      <c r="K11" s="24" t="n"/>
      <c r="L11" s="25" t="n"/>
      <c r="M11" s="26" t="inlineStr">
        <is>
          <t>평가</t>
        </is>
      </c>
    </row>
    <row r="12" ht="18" customHeight="1" s="277">
      <c r="B12" s="272" t="inlineStr">
        <is>
          <t>협업
TEAM WORK</t>
        </is>
      </c>
      <c r="C12" s="288" t="n"/>
      <c r="D12" s="27" t="inlineStr">
        <is>
          <t>협업의 중요성을 공감하고, 동료를 배려하며 협업을 위한 노력을 실천할 것으로 판단되는가?</t>
        </is>
      </c>
      <c r="E12" s="28" t="n"/>
      <c r="F12" s="28" t="n"/>
      <c r="G12" s="28" t="n"/>
      <c r="H12" s="28" t="n"/>
      <c r="I12" s="28" t="n"/>
      <c r="J12" s="28" t="n"/>
      <c r="K12" s="28" t="n"/>
      <c r="L12" s="29" t="n"/>
      <c r="M12" s="30" t="n"/>
    </row>
    <row r="13" ht="18" customHeight="1" s="277">
      <c r="B13" s="285" t="n"/>
      <c r="C13" s="281" t="n"/>
      <c r="D13" s="27" t="inlineStr">
        <is>
          <t>동료와 함께 일함에 있어 긍정적인 시너지를 만들어낼 것으로 판단되는가?</t>
        </is>
      </c>
      <c r="E13" s="28" t="n"/>
      <c r="F13" s="28" t="n"/>
      <c r="G13" s="28" t="n"/>
      <c r="H13" s="28" t="n"/>
      <c r="I13" s="28" t="n"/>
      <c r="J13" s="28" t="n"/>
      <c r="K13" s="28" t="n"/>
      <c r="L13" s="29" t="n"/>
      <c r="M13" s="30" t="n"/>
    </row>
    <row r="14" ht="18" customHeight="1" s="277">
      <c r="B14" s="272" t="inlineStr">
        <is>
          <t>창의성
CREATIVITY</t>
        </is>
      </c>
      <c r="C14" s="288" t="n"/>
      <c r="D14" s="27" t="inlineStr">
        <is>
          <t>더 새롭고 더 나은 결과물을 만드는 것에 대한 열망을 가지고 있는가?</t>
        </is>
      </c>
      <c r="E14" s="28" t="n"/>
      <c r="F14" s="28" t="n"/>
      <c r="G14" s="28" t="n"/>
      <c r="H14" s="28" t="n"/>
      <c r="I14" s="28" t="n"/>
      <c r="J14" s="28" t="n"/>
      <c r="K14" s="28" t="n"/>
      <c r="L14" s="29" t="n"/>
      <c r="M14" s="30" t="n"/>
    </row>
    <row r="15" ht="18" customHeight="1" s="277">
      <c r="B15" s="285" t="n"/>
      <c r="C15" s="281" t="n"/>
      <c r="D15" s="27" t="inlineStr">
        <is>
          <t>포트폴리오와 답변에서 끊임없이 새로움을 추구하려는 경향이 있는 것으로 판단되는가?</t>
        </is>
      </c>
      <c r="E15" s="28" t="n"/>
      <c r="F15" s="28" t="n"/>
      <c r="G15" s="28" t="n"/>
      <c r="H15" s="28" t="n"/>
      <c r="I15" s="28" t="n"/>
      <c r="J15" s="28" t="n"/>
      <c r="K15" s="28" t="n"/>
      <c r="L15" s="29" t="n"/>
      <c r="M15" s="30" t="n"/>
    </row>
    <row r="16" ht="18" customHeight="1" s="277">
      <c r="B16" s="272" t="inlineStr">
        <is>
          <t>역량
PERFORMANCE</t>
        </is>
      </c>
      <c r="C16" s="288" t="n"/>
      <c r="D16" s="27" t="inlineStr">
        <is>
          <t>본인의 업무에 대한 역량을 강화하기 위해 계획을 가지고 꾸준히 실천하고 있는가?</t>
        </is>
      </c>
      <c r="E16" s="28" t="n"/>
      <c r="F16" s="28" t="n"/>
      <c r="G16" s="28" t="n"/>
      <c r="H16" s="28" t="n"/>
      <c r="I16" s="28" t="n"/>
      <c r="J16" s="28" t="n"/>
      <c r="K16" s="28" t="n"/>
      <c r="L16" s="29" t="n"/>
      <c r="M16" s="30" t="n"/>
    </row>
    <row r="17" ht="18" customHeight="1" s="277">
      <c r="B17" s="285" t="n"/>
      <c r="C17" s="281" t="n"/>
      <c r="D17" s="27" t="inlineStr">
        <is>
          <t>우리가 신뢰할 수 있을만큼 높은 역량을 보유하고 성과를 창출할 것으로 판단되는가?</t>
        </is>
      </c>
      <c r="E17" s="28" t="n"/>
      <c r="F17" s="28" t="n"/>
      <c r="G17" s="28" t="n"/>
      <c r="H17" s="28" t="n"/>
      <c r="I17" s="28" t="n"/>
      <c r="J17" s="28" t="n"/>
      <c r="K17" s="28" t="n"/>
      <c r="L17" s="29" t="n"/>
      <c r="M17" s="30" t="n"/>
    </row>
    <row r="18" ht="18" customHeight="1" s="277">
      <c r="B18" s="272" t="inlineStr">
        <is>
          <t>커뮤니케이션
COMMUNICATION</t>
        </is>
      </c>
      <c r="C18" s="288" t="n"/>
      <c r="D18" s="27" t="inlineStr">
        <is>
          <t>면접 질문을 경청하고 잘 이해하며, 명확하고 조리있게 대답하는가?</t>
        </is>
      </c>
      <c r="E18" s="28" t="n"/>
      <c r="F18" s="28" t="n"/>
      <c r="G18" s="28" t="n"/>
      <c r="H18" s="28" t="n"/>
      <c r="I18" s="28" t="n"/>
      <c r="J18" s="28" t="n"/>
      <c r="K18" s="28" t="n"/>
      <c r="L18" s="29" t="n"/>
      <c r="M18" s="30" t="n"/>
    </row>
    <row r="19" ht="18" customHeight="1" s="277">
      <c r="B19" s="285" t="n"/>
      <c r="C19" s="281" t="n"/>
      <c r="D19" s="27" t="inlineStr">
        <is>
          <t>사실에 근거하여 커뮤니케이션하며 적절한 논거와 논리로 상대를 설득하는가?</t>
        </is>
      </c>
      <c r="E19" s="28" t="n"/>
      <c r="F19" s="28" t="n"/>
      <c r="G19" s="28" t="n"/>
      <c r="H19" s="28" t="n"/>
      <c r="I19" s="28" t="n"/>
      <c r="J19" s="28" t="n"/>
      <c r="K19" s="28" t="n"/>
      <c r="L19" s="29" t="n"/>
      <c r="M19" s="30" t="n"/>
    </row>
    <row r="20" ht="20.1" customHeight="1" s="277">
      <c r="B20" s="272" t="inlineStr">
        <is>
          <t>신뢰
TRUST</t>
        </is>
      </c>
      <c r="C20" s="288" t="n"/>
      <c r="D20" s="32" t="inlineStr">
        <is>
          <t>지원서, 답변, 행동에 일관성이 있는가?</t>
        </is>
      </c>
      <c r="E20" s="33" t="n"/>
      <c r="F20" s="33" t="n"/>
      <c r="G20" s="33" t="n"/>
      <c r="H20" s="33" t="n"/>
      <c r="I20" s="33" t="n"/>
      <c r="J20" s="33" t="n"/>
      <c r="K20" s="33" t="n"/>
      <c r="L20" s="29" t="n"/>
      <c r="M20" s="30" t="n"/>
    </row>
    <row r="21" ht="20.1" customHeight="1" s="277">
      <c r="B21" s="285" t="n"/>
      <c r="C21" s="281" t="n"/>
      <c r="D21" s="32" t="inlineStr">
        <is>
          <t>포트폴리오, 답변 등 면접 준비를 성실히 하였는가?</t>
        </is>
      </c>
      <c r="E21" s="33" t="n"/>
      <c r="F21" s="33" t="n"/>
      <c r="G21" s="33" t="n"/>
      <c r="H21" s="33" t="n"/>
      <c r="I21" s="33" t="n"/>
      <c r="J21" s="33" t="n"/>
      <c r="K21" s="33" t="n"/>
      <c r="L21" s="29" t="n"/>
      <c r="M21" s="30" t="n"/>
    </row>
    <row r="22" ht="24.75" customHeight="1" s="277">
      <c r="B22" s="272" t="inlineStr">
        <is>
          <t>정직
HONESTY</t>
        </is>
      </c>
      <c r="C22" s="279" t="n"/>
      <c r="D22" s="27" t="inlineStr">
        <is>
          <t>지원서류, 포트폴리오, 답변에 거짓이 없는가?</t>
        </is>
      </c>
      <c r="E22" s="28" t="n"/>
      <c r="F22" s="28" t="n"/>
      <c r="G22" s="28" t="n"/>
      <c r="H22" s="28" t="n"/>
      <c r="I22" s="28" t="n"/>
      <c r="J22" s="28" t="n"/>
      <c r="K22" s="28" t="n"/>
      <c r="L22" s="29" t="n"/>
      <c r="M22" s="30" t="n"/>
    </row>
    <row r="23" ht="33" customHeight="1" s="277">
      <c r="B23" s="272" t="inlineStr">
        <is>
          <t>주인의식
OWNERSHIP</t>
        </is>
      </c>
      <c r="C23" s="279" t="n"/>
      <c r="D23" s="27" t="inlineStr">
        <is>
          <t>개인이나 팀보다 회사 전체의 이익 관점에서 판단하고 행동할 것으로 판단되는가?</t>
        </is>
      </c>
      <c r="E23" s="28" t="n"/>
      <c r="F23" s="28" t="n"/>
      <c r="G23" s="28" t="n"/>
      <c r="H23" s="28" t="n"/>
      <c r="I23" s="28" t="n"/>
      <c r="J23" s="28" t="n"/>
      <c r="K23" s="28" t="n"/>
      <c r="L23" s="29" t="n"/>
      <c r="M23" s="30" t="n"/>
    </row>
    <row r="24" ht="18" customHeight="1" s="277">
      <c r="B24" s="272" t="inlineStr">
        <is>
          <t>열정
PASSION</t>
        </is>
      </c>
      <c r="C24" s="288" t="n"/>
      <c r="D24" s="27" t="inlineStr">
        <is>
          <t>어려운 상황에서도 항상 긍정적으로 생각하고 행동하고자 노력하는가?</t>
        </is>
      </c>
      <c r="E24" s="28" t="n"/>
      <c r="F24" s="28" t="n"/>
      <c r="G24" s="28" t="n"/>
      <c r="H24" s="28" t="n"/>
      <c r="I24" s="28" t="n"/>
      <c r="J24" s="28" t="n"/>
      <c r="K24" s="28" t="n"/>
      <c r="L24" s="29" t="n"/>
      <c r="M24" s="30" t="n"/>
    </row>
    <row r="25" ht="18" customHeight="1" s="277">
      <c r="B25" s="285" t="n"/>
      <c r="C25" s="281" t="n"/>
      <c r="D25" s="27" t="inlineStr">
        <is>
          <t>업무에 있어 실패를 두려워하지 않고 끈기를 가지고 도전하는 것으로 판단되는가?</t>
        </is>
      </c>
      <c r="E25" s="28" t="n"/>
      <c r="F25" s="28" t="n"/>
      <c r="G25" s="28" t="n"/>
      <c r="H25" s="28" t="n"/>
      <c r="I25" s="28" t="n"/>
      <c r="J25" s="28" t="n"/>
      <c r="K25" s="28" t="n"/>
      <c r="L25" s="29" t="n"/>
      <c r="M25" s="30" t="n"/>
    </row>
    <row r="26" ht="18" customHeight="1" s="277">
      <c r="B26" s="272" t="inlineStr">
        <is>
          <t>혁신
INNOVATION</t>
        </is>
      </c>
      <c r="C26" s="288" t="n"/>
      <c r="D26" s="27" t="inlineStr">
        <is>
          <t>입사 후 새로운 도전과 변화를 두려워하지 않고 받아들일 것으로 판단되는가?</t>
        </is>
      </c>
      <c r="E26" s="28" t="n"/>
      <c r="F26" s="28" t="n"/>
      <c r="G26" s="28" t="n"/>
      <c r="H26" s="28" t="n"/>
      <c r="I26" s="28" t="n"/>
      <c r="J26" s="28" t="n"/>
      <c r="K26" s="28" t="n"/>
      <c r="L26" s="29" t="n"/>
      <c r="M26" s="30" t="n"/>
    </row>
    <row r="27" ht="18" customHeight="1" s="277">
      <c r="B27" s="285" t="n"/>
      <c r="C27" s="281" t="n"/>
      <c r="D27" s="27" t="inlineStr">
        <is>
          <t>입사 후에도 성장 가능성이 있을 것으로 판단되는가?</t>
        </is>
      </c>
      <c r="E27" s="28" t="n"/>
      <c r="F27" s="28" t="n"/>
      <c r="G27" s="28" t="n"/>
      <c r="H27" s="28" t="n"/>
      <c r="I27" s="28" t="n"/>
      <c r="J27" s="28" t="n"/>
      <c r="K27" s="28" t="n"/>
      <c r="L27" s="29" t="n"/>
      <c r="M27" s="30" t="n"/>
    </row>
    <row r="28" ht="18" customHeight="1" s="277">
      <c r="B28" s="255" t="n"/>
      <c r="C28" s="255" t="n"/>
      <c r="D28" s="255" t="n"/>
      <c r="E28" s="255" t="n"/>
      <c r="F28" s="255" t="n"/>
      <c r="G28" s="255" t="n"/>
      <c r="H28" s="255" t="n"/>
      <c r="I28" s="255" t="n"/>
      <c r="J28" s="255" t="n"/>
      <c r="K28" s="255" t="n"/>
      <c r="L28" s="255" t="n"/>
      <c r="M28" s="16" t="n"/>
    </row>
    <row r="29" ht="18" customHeight="1" s="277">
      <c r="B29" s="17" t="inlineStr">
        <is>
          <t>가치관, 인성, 디스트릭트 적합성 평가</t>
        </is>
      </c>
      <c r="C29" s="23" t="n"/>
      <c r="D29" s="23" t="n"/>
      <c r="E29" s="23" t="n"/>
      <c r="F29" s="23" t="n"/>
      <c r="G29" s="23" t="n"/>
      <c r="H29" s="23" t="n"/>
      <c r="I29" s="23" t="n"/>
      <c r="J29" s="23" t="n"/>
      <c r="K29" s="23" t="n"/>
      <c r="L29" s="23" t="n"/>
      <c r="M29" s="26" t="inlineStr">
        <is>
          <t>평가</t>
        </is>
      </c>
      <c r="O29" s="35" t="n"/>
    </row>
    <row r="30" ht="18" customHeight="1" s="277">
      <c r="B30" s="265" t="inlineStr">
        <is>
          <t>지원자 본인 확인(자기관리/여가, 가치관, 출퇴근거리, 성격 장단점, 언어/행동 스타일, 자기평가 등)</t>
        </is>
      </c>
      <c r="C30" s="299" t="n"/>
      <c r="D30" s="299" t="n"/>
      <c r="E30" s="299" t="n"/>
      <c r="F30" s="299" t="n"/>
      <c r="G30" s="299" t="n"/>
      <c r="H30" s="299" t="n"/>
      <c r="I30" s="299" t="n"/>
      <c r="J30" s="299" t="n"/>
      <c r="K30" s="299" t="n"/>
      <c r="L30" s="279" t="n"/>
      <c r="M30" s="30" t="n"/>
      <c r="O30" s="35" t="n"/>
    </row>
    <row r="31" ht="18" customHeight="1" s="277">
      <c r="B31" s="264" t="n"/>
      <c r="C31" s="292" t="n"/>
      <c r="D31" s="292" t="n"/>
      <c r="E31" s="292" t="n"/>
      <c r="F31" s="292" t="n"/>
      <c r="G31" s="292" t="n"/>
      <c r="H31" s="292" t="n"/>
      <c r="I31" s="292" t="n"/>
      <c r="J31" s="292" t="n"/>
      <c r="K31" s="292" t="n"/>
      <c r="L31" s="288" t="n"/>
      <c r="M31" s="319" t="n"/>
      <c r="O31" s="35" t="n"/>
    </row>
    <row r="32" ht="18" customHeight="1" s="277">
      <c r="B32" s="289" t="n"/>
      <c r="L32" s="290" t="n"/>
      <c r="M32" s="319" t="n"/>
      <c r="O32" s="35" t="n"/>
    </row>
    <row r="33" ht="18" customHeight="1" s="277">
      <c r="B33" s="285" t="n"/>
      <c r="C33" s="297" t="n"/>
      <c r="D33" s="297" t="n"/>
      <c r="E33" s="297" t="n"/>
      <c r="F33" s="297" t="n"/>
      <c r="G33" s="297" t="n"/>
      <c r="H33" s="297" t="n"/>
      <c r="I33" s="297" t="n"/>
      <c r="J33" s="297" t="n"/>
      <c r="K33" s="297" t="n"/>
      <c r="L33" s="281" t="n"/>
      <c r="M33" s="320" t="n"/>
      <c r="O33" s="35" t="n"/>
    </row>
    <row r="34" ht="18" customHeight="1" s="277">
      <c r="B34" s="260" t="inlineStr">
        <is>
          <t>디스트릭트 입사 의지 확인(지원과정, 지원동기, 마음가짐, 기대/걱정 등)</t>
        </is>
      </c>
      <c r="C34" s="299" t="n"/>
      <c r="D34" s="299" t="n"/>
      <c r="E34" s="299" t="n"/>
      <c r="F34" s="299" t="n"/>
      <c r="G34" s="299" t="n"/>
      <c r="H34" s="299" t="n"/>
      <c r="I34" s="299" t="n"/>
      <c r="J34" s="299" t="n"/>
      <c r="K34" s="299" t="n"/>
      <c r="L34" s="279" t="n"/>
      <c r="M34" s="30" t="n"/>
      <c r="O34" s="35" t="n"/>
    </row>
    <row r="35" ht="18" customHeight="1" s="277">
      <c r="B35" s="264" t="n"/>
      <c r="C35" s="292" t="n"/>
      <c r="D35" s="292" t="n"/>
      <c r="E35" s="292" t="n"/>
      <c r="F35" s="292" t="n"/>
      <c r="G35" s="292" t="n"/>
      <c r="H35" s="292" t="n"/>
      <c r="I35" s="292" t="n"/>
      <c r="J35" s="292" t="n"/>
      <c r="K35" s="292" t="n"/>
      <c r="L35" s="288" t="n"/>
      <c r="M35" s="319" t="n"/>
      <c r="O35" s="35" t="n"/>
    </row>
    <row r="36" ht="18" customHeight="1" s="277">
      <c r="B36" s="289" t="n"/>
      <c r="L36" s="290" t="n"/>
      <c r="M36" s="319" t="n"/>
      <c r="O36" s="35" t="n"/>
    </row>
    <row r="37" ht="18" customHeight="1" s="277">
      <c r="B37" s="289" t="n"/>
      <c r="L37" s="290" t="n"/>
      <c r="M37" s="319" t="n"/>
      <c r="O37" s="35" t="n"/>
    </row>
    <row r="38" ht="46.5" customHeight="1" s="277">
      <c r="B38" s="285" t="n"/>
      <c r="C38" s="297" t="n"/>
      <c r="D38" s="297" t="n"/>
      <c r="E38" s="297" t="n"/>
      <c r="F38" s="297" t="n"/>
      <c r="G38" s="297" t="n"/>
      <c r="H38" s="297" t="n"/>
      <c r="I38" s="297" t="n"/>
      <c r="J38" s="297" t="n"/>
      <c r="K38" s="297" t="n"/>
      <c r="L38" s="281" t="n"/>
      <c r="M38" s="320" t="n"/>
      <c r="O38" s="35" t="n"/>
    </row>
    <row r="39" ht="18" customHeight="1" s="277">
      <c r="B39" s="265" t="inlineStr">
        <is>
          <t>적합성 확인(직무 이해도, 업무 수행 방법, 조직 적응력 등)</t>
        </is>
      </c>
      <c r="C39" s="299" t="n"/>
      <c r="D39" s="299" t="n"/>
      <c r="E39" s="299" t="n"/>
      <c r="F39" s="299" t="n"/>
      <c r="G39" s="299" t="n"/>
      <c r="H39" s="299" t="n"/>
      <c r="I39" s="299" t="n"/>
      <c r="J39" s="299" t="n"/>
      <c r="K39" s="299" t="n"/>
      <c r="L39" s="279" t="n"/>
      <c r="M39" s="30" t="n"/>
      <c r="O39" s="35" t="n"/>
    </row>
    <row r="40" ht="18" customHeight="1" s="277">
      <c r="B40" s="264" t="n"/>
      <c r="C40" s="292" t="n"/>
      <c r="D40" s="292" t="n"/>
      <c r="E40" s="292" t="n"/>
      <c r="F40" s="292" t="n"/>
      <c r="G40" s="292" t="n"/>
      <c r="H40" s="292" t="n"/>
      <c r="I40" s="292" t="n"/>
      <c r="J40" s="292" t="n"/>
      <c r="K40" s="292" t="n"/>
      <c r="L40" s="288" t="n"/>
      <c r="M40" s="319" t="n"/>
      <c r="O40" s="35" t="n"/>
    </row>
    <row r="41" ht="18" customHeight="1" s="277">
      <c r="B41" s="289" t="n"/>
      <c r="L41" s="290" t="n"/>
      <c r="M41" s="319" t="n"/>
      <c r="O41" s="35" t="n"/>
    </row>
    <row r="42" ht="18" customHeight="1" s="277">
      <c r="B42" s="289" t="n"/>
      <c r="L42" s="290" t="n"/>
      <c r="M42" s="319" t="n"/>
      <c r="O42" s="35" t="n"/>
    </row>
    <row r="43" ht="18" customHeight="1" s="277">
      <c r="B43" s="289" t="n"/>
      <c r="L43" s="290" t="n"/>
      <c r="M43" s="319" t="n"/>
      <c r="O43" s="35" t="n"/>
    </row>
    <row r="44" ht="18" customHeight="1" s="277">
      <c r="B44" s="285" t="n"/>
      <c r="C44" s="297" t="n"/>
      <c r="D44" s="297" t="n"/>
      <c r="E44" s="297" t="n"/>
      <c r="F44" s="297" t="n"/>
      <c r="G44" s="297" t="n"/>
      <c r="H44" s="297" t="n"/>
      <c r="I44" s="297" t="n"/>
      <c r="J44" s="297" t="n"/>
      <c r="K44" s="297" t="n"/>
      <c r="L44" s="281" t="n"/>
      <c r="M44" s="320" t="n"/>
      <c r="O44" s="35" t="n"/>
    </row>
    <row r="45" ht="18" customHeight="1" s="277">
      <c r="B45" s="265" t="inlineStr">
        <is>
          <t>처우 기준 확인(입사 가능 일정, 희망연봉 등)</t>
        </is>
      </c>
      <c r="C45" s="299" t="n"/>
      <c r="D45" s="299" t="n"/>
      <c r="E45" s="299" t="n"/>
      <c r="F45" s="299" t="n"/>
      <c r="G45" s="299" t="n"/>
      <c r="H45" s="299" t="n"/>
      <c r="I45" s="299" t="n"/>
      <c r="J45" s="299" t="n"/>
      <c r="K45" s="299" t="n"/>
      <c r="L45" s="299" t="n"/>
      <c r="M45" s="279" t="n"/>
      <c r="O45" s="35" t="n"/>
    </row>
    <row r="46" ht="18" customHeight="1" s="277">
      <c r="B46" s="264" t="n"/>
      <c r="C46" s="292" t="n"/>
      <c r="D46" s="292" t="n"/>
      <c r="E46" s="292" t="n"/>
      <c r="F46" s="292" t="n"/>
      <c r="G46" s="292" t="n"/>
      <c r="H46" s="292" t="n"/>
      <c r="I46" s="292" t="n"/>
      <c r="J46" s="292" t="n"/>
      <c r="K46" s="292" t="n"/>
      <c r="L46" s="292" t="n"/>
      <c r="M46" s="288" t="n"/>
      <c r="O46" s="35" t="n"/>
    </row>
    <row r="47" ht="18" customHeight="1" s="277">
      <c r="B47" s="285" t="n"/>
      <c r="C47" s="297" t="n"/>
      <c r="D47" s="297" t="n"/>
      <c r="E47" s="297" t="n"/>
      <c r="F47" s="297" t="n"/>
      <c r="G47" s="297" t="n"/>
      <c r="H47" s="297" t="n"/>
      <c r="I47" s="297" t="n"/>
      <c r="J47" s="297" t="n"/>
      <c r="K47" s="297" t="n"/>
      <c r="L47" s="297" t="n"/>
      <c r="M47" s="281" t="n"/>
      <c r="O47" s="35" t="n"/>
    </row>
    <row r="48" ht="18" customHeight="1" s="277">
      <c r="B48" s="36" t="n"/>
      <c r="C48" s="36" t="n"/>
      <c r="D48" s="36" t="n"/>
      <c r="E48" s="36" t="n"/>
      <c r="F48" s="36" t="n"/>
      <c r="G48" s="36" t="n"/>
      <c r="H48" s="36" t="n"/>
      <c r="I48" s="36" t="n"/>
      <c r="J48" s="36" t="n"/>
      <c r="K48" s="36" t="n"/>
      <c r="L48" s="36" t="n"/>
      <c r="M48" s="36" t="n"/>
    </row>
    <row r="49" ht="18" customHeight="1" s="277">
      <c r="B49" s="17" t="inlineStr">
        <is>
          <t>면접관 의견 및 총평</t>
        </is>
      </c>
      <c r="C49" s="23" t="n"/>
      <c r="D49" s="23" t="n"/>
      <c r="E49" s="23" t="n"/>
      <c r="F49" s="23" t="n"/>
      <c r="G49" s="23" t="n"/>
      <c r="H49" s="23" t="n"/>
      <c r="I49" s="23" t="n"/>
      <c r="J49" s="23" t="n"/>
      <c r="K49" s="7" t="inlineStr">
        <is>
          <t>평가 및 결과</t>
        </is>
      </c>
      <c r="L49" s="7" t="n"/>
      <c r="M49" s="8" t="n"/>
      <c r="O49" s="31" t="inlineStr">
        <is>
          <t> </t>
        </is>
      </c>
    </row>
    <row r="50" ht="18" customHeight="1" s="277">
      <c r="B50" s="37" t="inlineStr">
        <is>
          <t>면접에 대한 총평을 기재하고 의견을 도출한다.</t>
        </is>
      </c>
      <c r="C50" s="38" t="n"/>
      <c r="D50" s="38" t="n"/>
      <c r="E50" s="38" t="n"/>
      <c r="F50" s="38" t="n"/>
      <c r="G50" s="38" t="n"/>
      <c r="H50" s="38" t="n"/>
      <c r="I50" s="38" t="n"/>
      <c r="J50" s="38" t="n"/>
      <c r="K50" s="39" t="inlineStr">
        <is>
          <t>평가항목</t>
        </is>
      </c>
      <c r="L50" s="40" t="inlineStr">
        <is>
          <t>점수</t>
        </is>
      </c>
      <c r="M50" s="41" t="inlineStr">
        <is>
          <t>가중치</t>
        </is>
      </c>
      <c r="O50" s="4" t="n"/>
    </row>
    <row r="51" ht="18" customHeight="1" s="277">
      <c r="B51" s="321" t="n"/>
      <c r="C51" s="292" t="n"/>
      <c r="D51" s="292" t="n"/>
      <c r="E51" s="292" t="n"/>
      <c r="F51" s="292" t="n"/>
      <c r="G51" s="292" t="n"/>
      <c r="H51" s="292" t="n"/>
      <c r="I51" s="292" t="n"/>
      <c r="J51" s="292" t="n"/>
      <c r="K51" s="42" t="inlineStr">
        <is>
          <t>핵심가치</t>
        </is>
      </c>
      <c r="L51" s="43">
        <f>ROUND(SUM(M12:M27)/16*20*$M$51,1)</f>
        <v/>
      </c>
      <c r="M51" s="44" t="n">
        <v>0.3</v>
      </c>
      <c r="O51" s="4" t="n"/>
    </row>
    <row r="52" ht="18" customHeight="1" s="277" thickBot="1">
      <c r="B52" s="289" t="n"/>
      <c r="K52" s="45" t="inlineStr">
        <is>
          <t>역량/전문성</t>
        </is>
      </c>
      <c r="L52" s="46">
        <f>ROUND(SUM($M$30:$M$44)/COUNTA($M$30:$M$44)*20*$M$52,1)</f>
        <v/>
      </c>
      <c r="M52" s="47" t="n">
        <v>0.7</v>
      </c>
      <c r="O52" s="4" t="n"/>
    </row>
    <row r="53" ht="39.95" customHeight="1" s="277" thickBot="1">
      <c r="B53" s="285" t="n"/>
      <c r="C53" s="297" t="n"/>
      <c r="D53" s="297" t="n"/>
      <c r="E53" s="297" t="n"/>
      <c r="F53" s="297" t="n"/>
      <c r="G53" s="297" t="n"/>
      <c r="H53" s="297" t="n"/>
      <c r="I53" s="297" t="n"/>
      <c r="J53" s="297" t="n"/>
      <c r="K53" s="48" t="inlineStr">
        <is>
          <t>총점
(100점 만점)</t>
        </is>
      </c>
      <c r="L53" s="49">
        <f>IFERROR(L51+L52,0)</f>
        <v/>
      </c>
      <c r="M53" s="50">
        <f>IF(L53&gt;70,"합격","불합격")</f>
        <v/>
      </c>
    </row>
    <row r="54" ht="18" customHeight="1" s="277">
      <c r="B54" s="51" t="n"/>
      <c r="C54" s="51" t="n"/>
      <c r="D54" s="51" t="n"/>
      <c r="E54" s="51" t="n"/>
      <c r="F54" s="51" t="n"/>
      <c r="G54" s="51" t="n"/>
      <c r="H54" s="51" t="n"/>
      <c r="I54" s="51" t="n"/>
      <c r="J54" s="51" t="n"/>
      <c r="K54" s="51" t="n"/>
      <c r="L54" s="51" t="n"/>
      <c r="M54" s="52" t="n"/>
    </row>
    <row r="55" ht="18" customHeight="1" s="277">
      <c r="B55" s="51" t="n"/>
      <c r="C55" s="51" t="n"/>
      <c r="D55" s="51" t="n"/>
      <c r="E55" s="51" t="n"/>
      <c r="F55" s="51" t="n"/>
      <c r="G55" s="51" t="n"/>
      <c r="H55" s="51" t="n"/>
      <c r="I55" s="51" t="n"/>
      <c r="J55" s="51" t="n"/>
      <c r="K55" s="51" t="n"/>
      <c r="L55" s="51" t="n"/>
      <c r="M55" s="53" t="n"/>
    </row>
    <row r="56" ht="98.25" customHeight="1" s="277">
      <c r="B56" s="258" t="inlineStr">
        <is>
          <t>
</t>
        </is>
      </c>
    </row>
    <row r="57" ht="18" customHeight="1" s="277">
      <c r="B57" s="54" t="n"/>
      <c r="C57" s="51" t="n"/>
      <c r="D57" s="51" t="n"/>
      <c r="E57" s="51" t="n"/>
      <c r="F57" s="51" t="n"/>
      <c r="G57" s="51" t="n"/>
      <c r="H57" s="51" t="n"/>
      <c r="I57" s="51" t="n"/>
      <c r="J57" s="51" t="n"/>
      <c r="K57" s="51" t="n"/>
      <c r="L57" s="51" t="n"/>
      <c r="M57" s="53" t="n"/>
    </row>
    <row r="58" ht="18" customHeight="1" s="277">
      <c r="B58" s="54" t="n"/>
      <c r="C58" s="51" t="n"/>
      <c r="D58" s="51" t="n"/>
      <c r="E58" s="51" t="n"/>
      <c r="F58" s="51" t="n"/>
      <c r="G58" s="51" t="n"/>
      <c r="H58" s="51" t="n"/>
      <c r="I58" s="51" t="n"/>
      <c r="J58" s="51" t="n"/>
      <c r="K58" s="51" t="n"/>
      <c r="L58" s="51" t="n"/>
      <c r="M58" s="53" t="n"/>
      <c r="O58" s="259" t="n"/>
    </row>
    <row r="59" ht="18" customHeight="1" s="277">
      <c r="B59" s="54" t="n"/>
      <c r="C59" s="51" t="n"/>
      <c r="D59" s="51" t="n"/>
      <c r="E59" s="51" t="n"/>
      <c r="F59" s="51" t="n"/>
      <c r="G59" s="51" t="n"/>
      <c r="H59" s="51" t="n"/>
      <c r="I59" s="51" t="n"/>
      <c r="J59" s="51" t="n"/>
      <c r="K59" s="51" t="n"/>
      <c r="L59" s="51" t="n"/>
      <c r="M59" s="53" t="n"/>
    </row>
    <row r="60" ht="18" customHeight="1" s="277">
      <c r="B60" s="54" t="n"/>
      <c r="C60" s="51" t="n"/>
      <c r="D60" s="51" t="n"/>
      <c r="E60" s="51" t="n"/>
      <c r="F60" s="51" t="n"/>
      <c r="G60" s="51" t="n"/>
      <c r="H60" s="51" t="n"/>
      <c r="I60" s="51" t="n"/>
      <c r="J60" s="51" t="n"/>
      <c r="K60" s="51" t="n"/>
      <c r="L60" s="51" t="n"/>
      <c r="M60" s="53" t="n"/>
    </row>
  </sheetData>
  <mergeCells count="23">
    <mergeCell ref="B22:C22"/>
    <mergeCell ref="M39:M44"/>
    <mergeCell ref="B24:C25"/>
    <mergeCell ref="O58:O60"/>
    <mergeCell ref="B31:L33"/>
    <mergeCell ref="B39:L39"/>
    <mergeCell ref="B20:C21"/>
    <mergeCell ref="B23:C23"/>
    <mergeCell ref="B46:M47"/>
    <mergeCell ref="B16:C17"/>
    <mergeCell ref="M30:M33"/>
    <mergeCell ref="M34:M38"/>
    <mergeCell ref="B45:M45"/>
    <mergeCell ref="B34:L34"/>
    <mergeCell ref="B26:C27"/>
    <mergeCell ref="B35:L38"/>
    <mergeCell ref="B18:C19"/>
    <mergeCell ref="B51:J53"/>
    <mergeCell ref="B12:C13"/>
    <mergeCell ref="B30:L30"/>
    <mergeCell ref="B14:C15"/>
    <mergeCell ref="B56:M56"/>
    <mergeCell ref="B40:L44"/>
  </mergeCells>
  <conditionalFormatting sqref="L53:M53">
    <cfRule type="expression" priority="1" dxfId="1">
      <formula>$M$53="불합격"</formula>
    </cfRule>
    <cfRule type="expression" priority="2" dxfId="0">
      <formula>$M$53="합격"</formula>
    </cfRule>
  </conditionalFormatting>
  <dataValidations count="3">
    <dataValidation sqref="L12:L27" showDropDown="0" showInputMessage="1" showErrorMessage="1" allowBlank="1" type="list">
      <formula1>"5,4,3,2,1"</formula1>
    </dataValidation>
    <dataValidation sqref="M30 M34 M39" showDropDown="0" showInputMessage="1" showErrorMessage="1" allowBlank="1" type="list">
      <formula1>"미완료,5,4,3,2,1,0"</formula1>
    </dataValidation>
    <dataValidation sqref="M12:M27" showDropDown="0" showInputMessage="1" showErrorMessage="1" allowBlank="1" type="list">
      <formula1>"점수,5,4,3,2,1"</formula1>
    </dataValidation>
  </dataValidations>
  <printOptions horizontalCentered="1"/>
  <pageMargins left="0.3937007874015748" right="0.3937007874015748" top="0.3937007874015748" bottom="0.3937007874015748" header="0" footer="0"/>
  <pageSetup orientation="portrait" paperSize="9" scale="7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Jooly Lee(DSKR-이주현)</dc:creator>
  <dcterms:created xsi:type="dcterms:W3CDTF">2020-03-23T08:35:34Z</dcterms:created>
  <dcterms:modified xsi:type="dcterms:W3CDTF">2026-07-29T07:12:49Z</dcterms:modified>
  <cp:lastModifiedBy>Young Lee (DSKR - 이영한)</cp:lastModifiedBy>
  <cp:lastPrinted>2024-03-27T09:22:39Z</cp:lastPrinted>
</cp:coreProperties>
</file>